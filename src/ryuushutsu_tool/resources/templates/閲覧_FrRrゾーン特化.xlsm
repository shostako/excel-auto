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host\Desktop\手直し\"/>
    </mc:Choice>
  </mc:AlternateContent>
  <xr:revisionPtr revIDLastSave="0" documentId="13_ncr:1_{9B94503D-031C-45DA-84FF-D5B18D763225}" xr6:coauthVersionLast="47" xr6:coauthVersionMax="47" xr10:uidLastSave="{00000000-0000-0000-0000-000000000000}"/>
  <bookViews>
    <workbookView xWindow="-96" yWindow="0" windowWidth="11712" windowHeight="12336" xr2:uid="{7BA3C3C2-C48C-4A48-AF55-0B34F1634648}"/>
  </bookViews>
  <sheets>
    <sheet name="ゾーンFrRr流出" sheetId="1" r:id="rId1"/>
    <sheet name="番号ADO" sheetId="4" r:id="rId2"/>
    <sheet name="不良集計ADO" sheetId="2" r:id="rId3"/>
  </sheets>
  <functionGroups builtInGroupCount="19"/>
  <definedNames>
    <definedName name="ExternalData_2" localSheetId="1" hidden="1">番号ADO!$A$3:$D$77</definedName>
    <definedName name="ExternalData_2" localSheetId="2" hidden="1">不良集計ADO!$A$4:$I$298</definedName>
    <definedName name="_xlnm.Print_Area" localSheetId="0">ゾーンFrRr流出!$E$6:$AA$65</definedName>
    <definedName name="品番">#REF!</definedName>
  </definedNam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8" i="4" l="1"/>
  <c r="H299" i="2"/>
  <c r="J5" i="2" a="1"/>
  <c r="J5" i="2" s="1"/>
  <c r="K5" i="2" s="1"/>
  <c r="J6" i="2" a="1"/>
  <c r="J6" i="2" s="1"/>
  <c r="K6" i="2" s="1"/>
  <c r="J7" i="2" a="1"/>
  <c r="J7" i="2" s="1"/>
  <c r="K7" i="2" s="1"/>
  <c r="J8" i="2" a="1"/>
  <c r="J8" i="2" s="1"/>
  <c r="K8" i="2" s="1"/>
  <c r="J9" i="2" a="1"/>
  <c r="J9" i="2" s="1"/>
  <c r="K9" i="2" s="1"/>
  <c r="J10" i="2" a="1"/>
  <c r="J10" i="2" s="1"/>
  <c r="K10" i="2" s="1"/>
  <c r="J11" i="2" a="1"/>
  <c r="J11" i="2" s="1"/>
  <c r="K11" i="2" s="1"/>
  <c r="J12" i="2" a="1"/>
  <c r="J12" i="2" s="1"/>
  <c r="K12" i="2" s="1"/>
  <c r="J13" i="2" a="1"/>
  <c r="J13" i="2" s="1"/>
  <c r="K13" i="2" s="1"/>
  <c r="J14" i="2" a="1"/>
  <c r="J14" i="2" s="1"/>
  <c r="K14" i="2" s="1"/>
  <c r="J15" i="2" a="1"/>
  <c r="J15" i="2" s="1"/>
  <c r="K15" i="2" s="1"/>
  <c r="J16" i="2" a="1"/>
  <c r="J16" i="2" s="1"/>
  <c r="K16" i="2" s="1"/>
  <c r="J17" i="2" a="1"/>
  <c r="J17" i="2" s="1"/>
  <c r="K17" i="2" s="1"/>
  <c r="J18" i="2" a="1"/>
  <c r="J18" i="2" s="1"/>
  <c r="K18" i="2" s="1"/>
  <c r="J19" i="2" a="1"/>
  <c r="J19" i="2" s="1"/>
  <c r="K19" i="2" s="1"/>
  <c r="J20" i="2" a="1"/>
  <c r="J20" i="2" s="1"/>
  <c r="J21" i="2" a="1"/>
  <c r="J21" i="2" s="1"/>
  <c r="K21" i="2" s="1"/>
  <c r="J22" i="2" a="1"/>
  <c r="J22" i="2" s="1"/>
  <c r="K22" i="2" s="1"/>
  <c r="J23" i="2" a="1"/>
  <c r="J23" i="2" s="1"/>
  <c r="K23" i="2" s="1"/>
  <c r="J24" i="2" a="1"/>
  <c r="J24" i="2" s="1"/>
  <c r="K24" i="2" s="1"/>
  <c r="J25" i="2" a="1"/>
  <c r="J25" i="2" s="1"/>
  <c r="K25" i="2" s="1"/>
  <c r="J26" i="2" a="1"/>
  <c r="J26" i="2" s="1"/>
  <c r="K26" i="2" s="1"/>
  <c r="J27" i="2" a="1"/>
  <c r="J27" i="2" s="1"/>
  <c r="K27" i="2" s="1"/>
  <c r="J28" i="2" a="1"/>
  <c r="J28" i="2" s="1"/>
  <c r="K28" i="2" s="1"/>
  <c r="J29" i="2" a="1"/>
  <c r="J29" i="2" s="1"/>
  <c r="K29" i="2" s="1"/>
  <c r="J30" i="2" a="1"/>
  <c r="J30" i="2" s="1"/>
  <c r="K30" i="2" s="1"/>
  <c r="J31" i="2" a="1"/>
  <c r="J31" i="2" s="1"/>
  <c r="K31" i="2" s="1"/>
  <c r="J32" i="2" a="1"/>
  <c r="J32" i="2" s="1"/>
  <c r="K32" i="2" s="1"/>
  <c r="J33" i="2" a="1"/>
  <c r="J33" i="2" s="1"/>
  <c r="K33" i="2" s="1"/>
  <c r="J34" i="2" a="1"/>
  <c r="J34" i="2" s="1"/>
  <c r="K34" i="2" s="1"/>
  <c r="J35" i="2" a="1"/>
  <c r="J35" i="2" s="1"/>
  <c r="K35" i="2" s="1"/>
  <c r="J36" i="2" a="1"/>
  <c r="J36" i="2" s="1"/>
  <c r="K36" i="2" s="1"/>
  <c r="J37" i="2" a="1"/>
  <c r="J37" i="2" s="1"/>
  <c r="K37" i="2" s="1"/>
  <c r="J38" i="2" a="1"/>
  <c r="J38" i="2" s="1"/>
  <c r="K38" i="2" s="1"/>
  <c r="J39" i="2" a="1"/>
  <c r="J39" i="2" s="1"/>
  <c r="K39" i="2" s="1"/>
  <c r="J40" i="2" a="1"/>
  <c r="J40" i="2" s="1"/>
  <c r="K40" i="2" s="1"/>
  <c r="J41" i="2" a="1"/>
  <c r="J41" i="2" s="1"/>
  <c r="K41" i="2" s="1"/>
  <c r="J42" i="2" a="1"/>
  <c r="J42" i="2" s="1"/>
  <c r="K42" i="2" s="1"/>
  <c r="J43" i="2" a="1"/>
  <c r="J43" i="2" s="1"/>
  <c r="K43" i="2" s="1"/>
  <c r="J44" i="2" a="1"/>
  <c r="J44" i="2" s="1"/>
  <c r="K44" i="2" s="1"/>
  <c r="J45" i="2" a="1"/>
  <c r="J45" i="2" s="1"/>
  <c r="K45" i="2" s="1"/>
  <c r="J46" i="2" a="1"/>
  <c r="J46" i="2" s="1"/>
  <c r="K46" i="2" s="1"/>
  <c r="J47" i="2" a="1"/>
  <c r="J47" i="2"/>
  <c r="K47" i="2" s="1"/>
  <c r="J48" i="2" a="1"/>
  <c r="J48" i="2" s="1"/>
  <c r="K48" i="2" s="1"/>
  <c r="J49" i="2" a="1"/>
  <c r="J49" i="2"/>
  <c r="K49" i="2" s="1"/>
  <c r="J50" i="2" a="1"/>
  <c r="J50" i="2" s="1"/>
  <c r="K50" i="2" s="1"/>
  <c r="J51" i="2" a="1"/>
  <c r="J51" i="2" s="1"/>
  <c r="K51" i="2" s="1"/>
  <c r="J52" i="2" a="1"/>
  <c r="J52" i="2" s="1"/>
  <c r="K52" i="2" s="1"/>
  <c r="J53" i="2" a="1"/>
  <c r="J53" i="2" s="1"/>
  <c r="K53" i="2" s="1"/>
  <c r="J54" i="2" a="1"/>
  <c r="J54" i="2" s="1"/>
  <c r="K54" i="2" s="1"/>
  <c r="J55" i="2" a="1"/>
  <c r="J55" i="2" s="1"/>
  <c r="K55" i="2" s="1"/>
  <c r="J56" i="2" a="1"/>
  <c r="J56" i="2" s="1"/>
  <c r="K56" i="2" s="1"/>
  <c r="J57" i="2" a="1"/>
  <c r="J57" i="2" s="1"/>
  <c r="K57" i="2" s="1"/>
  <c r="J58" i="2" a="1"/>
  <c r="J58" i="2" s="1"/>
  <c r="K58" i="2" s="1"/>
  <c r="J59" i="2" a="1"/>
  <c r="J59" i="2" s="1"/>
  <c r="K59" i="2" s="1"/>
  <c r="J60" i="2" a="1"/>
  <c r="J60" i="2" s="1"/>
  <c r="K60" i="2" s="1"/>
  <c r="J61" i="2" a="1"/>
  <c r="J61" i="2" s="1"/>
  <c r="K61" i="2" s="1"/>
  <c r="J62" i="2" a="1"/>
  <c r="J62" i="2" s="1"/>
  <c r="K62" i="2" s="1"/>
  <c r="J63" i="2" a="1"/>
  <c r="J63" i="2" s="1"/>
  <c r="K63" i="2" s="1"/>
  <c r="J64" i="2" a="1"/>
  <c r="J64" i="2" s="1"/>
  <c r="K64" i="2" s="1"/>
  <c r="J65" i="2" a="1"/>
  <c r="J65" i="2" s="1"/>
  <c r="K65" i="2" s="1"/>
  <c r="J66" i="2" a="1"/>
  <c r="J66" i="2" s="1"/>
  <c r="K66" i="2" s="1"/>
  <c r="J67" i="2" a="1"/>
  <c r="J67" i="2" s="1"/>
  <c r="K67" i="2" s="1"/>
  <c r="J68" i="2" a="1"/>
  <c r="J68" i="2" s="1"/>
  <c r="K68" i="2" s="1"/>
  <c r="J69" i="2" a="1"/>
  <c r="J69" i="2" s="1"/>
  <c r="K69" i="2" s="1"/>
  <c r="J70" i="2" a="1"/>
  <c r="J70" i="2" s="1"/>
  <c r="K70" i="2" s="1"/>
  <c r="J71" i="2" a="1"/>
  <c r="J71" i="2" s="1"/>
  <c r="K71" i="2" s="1"/>
  <c r="J72" i="2" a="1"/>
  <c r="J72" i="2" s="1"/>
  <c r="K72" i="2" s="1"/>
  <c r="J73" i="2" a="1"/>
  <c r="J73" i="2" s="1"/>
  <c r="K73" i="2" s="1"/>
  <c r="J74" i="2" a="1"/>
  <c r="J74" i="2" s="1"/>
  <c r="K74" i="2" s="1"/>
  <c r="J75" i="2" a="1"/>
  <c r="J75" i="2" s="1"/>
  <c r="K75" i="2" s="1"/>
  <c r="J76" i="2" a="1"/>
  <c r="J76" i="2" s="1"/>
  <c r="K76" i="2" s="1"/>
  <c r="J77" i="2" a="1"/>
  <c r="J77" i="2" s="1"/>
  <c r="K77" i="2" s="1"/>
  <c r="J78" i="2" a="1"/>
  <c r="J78" i="2" s="1"/>
  <c r="K78" i="2" s="1"/>
  <c r="J79" i="2" a="1"/>
  <c r="J79" i="2" s="1"/>
  <c r="K79" i="2" s="1"/>
  <c r="J80" i="2" a="1"/>
  <c r="J80" i="2" s="1"/>
  <c r="K80" i="2" s="1"/>
  <c r="J81" i="2" a="1"/>
  <c r="J81" i="2" s="1"/>
  <c r="K81" i="2" s="1"/>
  <c r="J82" i="2" a="1"/>
  <c r="J82" i="2" s="1"/>
  <c r="K82" i="2" s="1"/>
  <c r="J83" i="2" a="1"/>
  <c r="J83" i="2" s="1"/>
  <c r="K83" i="2" s="1"/>
  <c r="J84" i="2" a="1"/>
  <c r="J84" i="2" s="1"/>
  <c r="J85" i="2" a="1"/>
  <c r="J85" i="2" s="1"/>
  <c r="J86" i="2" a="1"/>
  <c r="J86" i="2" s="1"/>
  <c r="K86" i="2" s="1"/>
  <c r="J87" i="2" a="1"/>
  <c r="J87" i="2" s="1"/>
  <c r="K87" i="2" s="1"/>
  <c r="J88" i="2" a="1"/>
  <c r="J88" i="2" s="1"/>
  <c r="K88" i="2" s="1"/>
  <c r="J89" i="2" a="1"/>
  <c r="J89" i="2"/>
  <c r="K89" i="2" s="1"/>
  <c r="J90" i="2" a="1"/>
  <c r="J90" i="2" s="1"/>
  <c r="K90" i="2" s="1"/>
  <c r="J91" i="2" a="1"/>
  <c r="J91" i="2"/>
  <c r="K91" i="2" s="1"/>
  <c r="J92" i="2" a="1"/>
  <c r="J92" i="2" s="1"/>
  <c r="K92" i="2" s="1"/>
  <c r="J93" i="2" a="1"/>
  <c r="J93" i="2" s="1"/>
  <c r="K93" i="2" s="1"/>
  <c r="J94" i="2" a="1"/>
  <c r="J94" i="2" s="1"/>
  <c r="K94" i="2" s="1"/>
  <c r="J95" i="2" a="1"/>
  <c r="J95" i="2" s="1"/>
  <c r="K95" i="2" s="1"/>
  <c r="J96" i="2" a="1"/>
  <c r="J96" i="2" s="1"/>
  <c r="K96" i="2" s="1"/>
  <c r="J97" i="2" a="1"/>
  <c r="J97" i="2" s="1"/>
  <c r="K97" i="2" s="1"/>
  <c r="J98" i="2" a="1"/>
  <c r="J98" i="2" s="1"/>
  <c r="K98" i="2" s="1"/>
  <c r="J99" i="2" a="1"/>
  <c r="J99" i="2" s="1"/>
  <c r="K99" i="2" s="1"/>
  <c r="J100" i="2" a="1"/>
  <c r="J100" i="2" s="1"/>
  <c r="K100" i="2" s="1"/>
  <c r="J101" i="2" a="1"/>
  <c r="J101" i="2" s="1"/>
  <c r="J102" i="2" a="1"/>
  <c r="J102" i="2" s="1"/>
  <c r="K102" i="2" s="1"/>
  <c r="J103" i="2" a="1"/>
  <c r="J103" i="2" s="1"/>
  <c r="K103" i="2" s="1"/>
  <c r="J104" i="2" a="1"/>
  <c r="J104" i="2" s="1"/>
  <c r="K104" i="2" s="1"/>
  <c r="J105" i="2" a="1"/>
  <c r="J105" i="2" s="1"/>
  <c r="K105" i="2" s="1"/>
  <c r="J106" i="2" a="1"/>
  <c r="J106" i="2" s="1"/>
  <c r="K106" i="2" s="1"/>
  <c r="J107" i="2" a="1"/>
  <c r="J107" i="2" s="1"/>
  <c r="K107" i="2" s="1"/>
  <c r="J108" i="2" a="1"/>
  <c r="J108" i="2" s="1"/>
  <c r="K108" i="2" s="1"/>
  <c r="J109" i="2" a="1"/>
  <c r="J109" i="2" s="1"/>
  <c r="K109" i="2" s="1"/>
  <c r="J110" i="2" a="1"/>
  <c r="J110" i="2" s="1"/>
  <c r="K110" i="2" s="1"/>
  <c r="J111" i="2" a="1"/>
  <c r="J111" i="2" s="1"/>
  <c r="K111" i="2" s="1"/>
  <c r="J112" i="2" a="1"/>
  <c r="J112" i="2" s="1"/>
  <c r="K112" i="2" s="1"/>
  <c r="J113" i="2" a="1"/>
  <c r="J113" i="2" s="1"/>
  <c r="K113" i="2" s="1"/>
  <c r="J114" i="2" a="1"/>
  <c r="J114" i="2" s="1"/>
  <c r="K114" i="2" s="1"/>
  <c r="J115" i="2" a="1"/>
  <c r="J115" i="2" s="1"/>
  <c r="K115" i="2" s="1"/>
  <c r="J116" i="2" a="1"/>
  <c r="J116" i="2" s="1"/>
  <c r="K116" i="2" s="1"/>
  <c r="J117" i="2" a="1"/>
  <c r="J117" i="2" s="1"/>
  <c r="K117" i="2" s="1"/>
  <c r="J118" i="2" a="1"/>
  <c r="J118" i="2"/>
  <c r="J119" i="2" a="1"/>
  <c r="J119" i="2" s="1"/>
  <c r="K119" i="2" s="1"/>
  <c r="J120" i="2" a="1"/>
  <c r="J120" i="2" s="1"/>
  <c r="K120" i="2" s="1"/>
  <c r="J121" i="2" a="1"/>
  <c r="J121" i="2"/>
  <c r="K121" i="2" s="1"/>
  <c r="J122" i="2" a="1"/>
  <c r="J122" i="2" s="1"/>
  <c r="K122" i="2" s="1"/>
  <c r="J123" i="2" a="1"/>
  <c r="J123" i="2" s="1"/>
  <c r="K123" i="2" s="1"/>
  <c r="J124" i="2" a="1"/>
  <c r="J124" i="2" s="1"/>
  <c r="J125" i="2" a="1"/>
  <c r="J125" i="2" s="1"/>
  <c r="J126" i="2" a="1"/>
  <c r="J126" i="2" s="1"/>
  <c r="K126" i="2" s="1"/>
  <c r="J127" i="2" a="1"/>
  <c r="J127" i="2" s="1"/>
  <c r="K127" i="2" s="1"/>
  <c r="J128" i="2" a="1"/>
  <c r="J128" i="2" s="1"/>
  <c r="K128" i="2" s="1"/>
  <c r="J129" i="2" a="1"/>
  <c r="J129" i="2" s="1"/>
  <c r="K129" i="2" s="1"/>
  <c r="J130" i="2" a="1"/>
  <c r="J130" i="2" s="1"/>
  <c r="K130" i="2" s="1"/>
  <c r="J131" i="2" a="1"/>
  <c r="J131" i="2" s="1"/>
  <c r="K131" i="2" s="1"/>
  <c r="J132" i="2" a="1"/>
  <c r="J132" i="2" s="1"/>
  <c r="K132" i="2" s="1"/>
  <c r="J133" i="2" a="1"/>
  <c r="J133" i="2" s="1"/>
  <c r="K133" i="2" s="1"/>
  <c r="J134" i="2" a="1"/>
  <c r="J134" i="2" s="1"/>
  <c r="K134" i="2" s="1"/>
  <c r="J135" i="2" a="1"/>
  <c r="J135" i="2" s="1"/>
  <c r="K135" i="2" s="1"/>
  <c r="J136" i="2" a="1"/>
  <c r="J136" i="2" s="1"/>
  <c r="K136" i="2" s="1"/>
  <c r="J137" i="2" a="1"/>
  <c r="J137" i="2" s="1"/>
  <c r="K137" i="2" s="1"/>
  <c r="J138" i="2" a="1"/>
  <c r="J138" i="2" s="1"/>
  <c r="K138" i="2" s="1"/>
  <c r="J139" i="2" a="1"/>
  <c r="J139" i="2" s="1"/>
  <c r="K139" i="2" s="1"/>
  <c r="J140" i="2" a="1"/>
  <c r="J140" i="2" s="1"/>
  <c r="K140" i="2" s="1"/>
  <c r="J141" i="2" a="1"/>
  <c r="J141" i="2" s="1"/>
  <c r="K141" i="2" s="1"/>
  <c r="J142" i="2" a="1"/>
  <c r="J142" i="2" s="1"/>
  <c r="K142" i="2" s="1"/>
  <c r="J143" i="2" a="1"/>
  <c r="J143" i="2" s="1"/>
  <c r="K143" i="2" s="1"/>
  <c r="J144" i="2" a="1"/>
  <c r="J144" i="2" s="1"/>
  <c r="K144" i="2" s="1"/>
  <c r="J145" i="2" a="1"/>
  <c r="J145" i="2" s="1"/>
  <c r="K145" i="2" s="1"/>
  <c r="J146" i="2" a="1"/>
  <c r="J146" i="2" s="1"/>
  <c r="K146" i="2" s="1"/>
  <c r="J147" i="2" a="1"/>
  <c r="J147" i="2" s="1"/>
  <c r="K147" i="2" s="1"/>
  <c r="J148" i="2" a="1"/>
  <c r="J148" i="2" s="1"/>
  <c r="K148" i="2" s="1"/>
  <c r="J149" i="2" a="1"/>
  <c r="J149" i="2" s="1"/>
  <c r="K149" i="2" s="1"/>
  <c r="J150" i="2" a="1"/>
  <c r="J150" i="2"/>
  <c r="K150" i="2" s="1"/>
  <c r="J151" i="2" a="1"/>
  <c r="J151" i="2" s="1"/>
  <c r="K151" i="2" s="1"/>
  <c r="J152" i="2" a="1"/>
  <c r="J152" i="2" s="1"/>
  <c r="K152" i="2" s="1"/>
  <c r="J153" i="2" a="1"/>
  <c r="J153" i="2" s="1"/>
  <c r="K153" i="2" s="1"/>
  <c r="J154" i="2" a="1"/>
  <c r="J154" i="2" s="1"/>
  <c r="K154" i="2" s="1"/>
  <c r="J155" i="2" a="1"/>
  <c r="J155" i="2" s="1"/>
  <c r="K155" i="2" s="1"/>
  <c r="J156" i="2" a="1"/>
  <c r="J156" i="2" s="1"/>
  <c r="K156" i="2" s="1"/>
  <c r="J157" i="2" a="1"/>
  <c r="J157" i="2" s="1"/>
  <c r="K157" i="2" s="1"/>
  <c r="J158" i="2" a="1"/>
  <c r="J158" i="2" s="1"/>
  <c r="K158" i="2" s="1"/>
  <c r="J159" i="2" a="1"/>
  <c r="J159" i="2"/>
  <c r="K159" i="2" s="1"/>
  <c r="J160" i="2" a="1"/>
  <c r="J160" i="2" s="1"/>
  <c r="K160" i="2" s="1"/>
  <c r="J161" i="2" a="1"/>
  <c r="J161" i="2" s="1"/>
  <c r="K161" i="2" s="1"/>
  <c r="J162" i="2" a="1"/>
  <c r="J162" i="2" s="1"/>
  <c r="K162" i="2" s="1"/>
  <c r="J163" i="2" a="1"/>
  <c r="J163" i="2" s="1"/>
  <c r="K163" i="2" s="1"/>
  <c r="J164" i="2" a="1"/>
  <c r="J164" i="2" s="1"/>
  <c r="K164" i="2" s="1"/>
  <c r="J165" i="2" a="1"/>
  <c r="J165" i="2" s="1"/>
  <c r="J166" i="2" a="1"/>
  <c r="J166" i="2" s="1"/>
  <c r="K166" i="2" s="1"/>
  <c r="J167" i="2" a="1"/>
  <c r="J167" i="2" s="1"/>
  <c r="K167" i="2" s="1"/>
  <c r="J168" i="2" a="1"/>
  <c r="J168" i="2" s="1"/>
  <c r="K168" i="2" s="1"/>
  <c r="J169" i="2" a="1"/>
  <c r="J169" i="2" s="1"/>
  <c r="K169" i="2" s="1"/>
  <c r="J170" i="2" a="1"/>
  <c r="J170" i="2" s="1"/>
  <c r="K170" i="2" s="1"/>
  <c r="J171" i="2" a="1"/>
  <c r="J171" i="2" s="1"/>
  <c r="K171" i="2" s="1"/>
  <c r="J172" i="2" a="1"/>
  <c r="J172" i="2" s="1"/>
  <c r="K172" i="2" s="1"/>
  <c r="J173" i="2" a="1"/>
  <c r="J173" i="2" s="1"/>
  <c r="J174" i="2" a="1"/>
  <c r="J174" i="2" s="1"/>
  <c r="K174" i="2" s="1"/>
  <c r="J175" i="2" a="1"/>
  <c r="J175" i="2" s="1"/>
  <c r="K175" i="2" s="1"/>
  <c r="J176" i="2" a="1"/>
  <c r="J176" i="2" s="1"/>
  <c r="K176" i="2" s="1"/>
  <c r="J177" i="2" a="1"/>
  <c r="J177" i="2" s="1"/>
  <c r="K177" i="2" s="1"/>
  <c r="J178" i="2" a="1"/>
  <c r="J178" i="2" s="1"/>
  <c r="K178" i="2" s="1"/>
  <c r="J179" i="2" a="1"/>
  <c r="J179" i="2" s="1"/>
  <c r="K179" i="2" s="1"/>
  <c r="J180" i="2" a="1"/>
  <c r="J180" i="2" s="1"/>
  <c r="K180" i="2" s="1"/>
  <c r="J181" i="2" a="1"/>
  <c r="J181" i="2" s="1"/>
  <c r="K181" i="2" s="1"/>
  <c r="J182" i="2" a="1"/>
  <c r="J182" i="2" s="1"/>
  <c r="K182" i="2" s="1"/>
  <c r="J183" i="2" a="1"/>
  <c r="J183" i="2" s="1"/>
  <c r="K183" i="2" s="1"/>
  <c r="J184" i="2" a="1"/>
  <c r="J184" i="2" s="1"/>
  <c r="K184" i="2" s="1"/>
  <c r="J185" i="2" a="1"/>
  <c r="J185" i="2"/>
  <c r="K185" i="2" s="1"/>
  <c r="J186" i="2" a="1"/>
  <c r="J186" i="2" s="1"/>
  <c r="K186" i="2" s="1"/>
  <c r="J187" i="2" a="1"/>
  <c r="J187" i="2" s="1"/>
  <c r="K187" i="2" s="1"/>
  <c r="J188" i="2" a="1"/>
  <c r="J188" i="2" s="1"/>
  <c r="K188" i="2" s="1"/>
  <c r="J189" i="2" a="1"/>
  <c r="J189" i="2" s="1"/>
  <c r="K189" i="2" s="1"/>
  <c r="J190" i="2" a="1"/>
  <c r="J190" i="2" s="1"/>
  <c r="K190" i="2" s="1"/>
  <c r="J191" i="2" a="1"/>
  <c r="J191" i="2" s="1"/>
  <c r="K191" i="2" s="1"/>
  <c r="J192" i="2" a="1"/>
  <c r="J192" i="2" s="1"/>
  <c r="K192" i="2" s="1"/>
  <c r="J193" i="2" a="1"/>
  <c r="J193" i="2" s="1"/>
  <c r="K193" i="2" s="1"/>
  <c r="J194" i="2" a="1"/>
  <c r="J194" i="2" s="1"/>
  <c r="K194" i="2" s="1"/>
  <c r="J195" i="2" a="1"/>
  <c r="J195" i="2" s="1"/>
  <c r="K195" i="2" s="1"/>
  <c r="J196" i="2" a="1"/>
  <c r="J196" i="2" s="1"/>
  <c r="K196" i="2" s="1"/>
  <c r="J197" i="2" a="1"/>
  <c r="J197" i="2" s="1"/>
  <c r="K197" i="2" s="1"/>
  <c r="J198" i="2" a="1"/>
  <c r="J198" i="2" s="1"/>
  <c r="K198" i="2" s="1"/>
  <c r="J199" i="2" a="1"/>
  <c r="J199" i="2" s="1"/>
  <c r="K199" i="2" s="1"/>
  <c r="J200" i="2" a="1"/>
  <c r="J200" i="2" s="1"/>
  <c r="K200" i="2" s="1"/>
  <c r="J201" i="2" a="1"/>
  <c r="J201" i="2" s="1"/>
  <c r="K201" i="2" s="1"/>
  <c r="J202" i="2" a="1"/>
  <c r="J202" i="2" s="1"/>
  <c r="K202" i="2" s="1"/>
  <c r="J203" i="2" a="1"/>
  <c r="J203" i="2" s="1"/>
  <c r="K203" i="2" s="1"/>
  <c r="J204" i="2" a="1"/>
  <c r="J204" i="2" s="1"/>
  <c r="J205" i="2" a="1"/>
  <c r="J205" i="2" s="1"/>
  <c r="K205" i="2" s="1"/>
  <c r="J206" i="2" a="1"/>
  <c r="J206" i="2" s="1"/>
  <c r="K206" i="2" s="1"/>
  <c r="J207" i="2" a="1"/>
  <c r="J207" i="2"/>
  <c r="K207" i="2" s="1"/>
  <c r="J208" i="2" a="1"/>
  <c r="J208" i="2" s="1"/>
  <c r="K208" i="2" s="1"/>
  <c r="J209" i="2" a="1"/>
  <c r="J209" i="2" s="1"/>
  <c r="K209" i="2" s="1"/>
  <c r="J210" i="2" a="1"/>
  <c r="J210" i="2" s="1"/>
  <c r="K210" i="2" s="1"/>
  <c r="J211" i="2" a="1"/>
  <c r="J211" i="2" s="1"/>
  <c r="K211" i="2" s="1"/>
  <c r="J212" i="2" a="1"/>
  <c r="J212" i="2" s="1"/>
  <c r="K212" i="2" s="1"/>
  <c r="J213" i="2" a="1"/>
  <c r="J213" i="2" s="1"/>
  <c r="K213" i="2" s="1"/>
  <c r="J214" i="2" a="1"/>
  <c r="J214" i="2" s="1"/>
  <c r="K214" i="2" s="1"/>
  <c r="J215" i="2" a="1"/>
  <c r="J215" i="2" s="1"/>
  <c r="K215" i="2" s="1"/>
  <c r="J216" i="2" a="1"/>
  <c r="J216" i="2" s="1"/>
  <c r="K216" i="2" s="1"/>
  <c r="J217" i="2" a="1"/>
  <c r="J217" i="2" s="1"/>
  <c r="K217" i="2" s="1"/>
  <c r="J218" i="2" a="1"/>
  <c r="J218" i="2" s="1"/>
  <c r="K218" i="2" s="1"/>
  <c r="J219" i="2" a="1"/>
  <c r="J219" i="2"/>
  <c r="K219" i="2" s="1"/>
  <c r="J220" i="2" a="1"/>
  <c r="J220" i="2" s="1"/>
  <c r="K220" i="2" s="1"/>
  <c r="J221" i="2" a="1"/>
  <c r="J221" i="2" s="1"/>
  <c r="K221" i="2" s="1"/>
  <c r="J222" i="2" a="1"/>
  <c r="J222" i="2" s="1"/>
  <c r="K222" i="2" s="1"/>
  <c r="J223" i="2" a="1"/>
  <c r="J223" i="2"/>
  <c r="K223" i="2" s="1"/>
  <c r="J224" i="2" a="1"/>
  <c r="J224" i="2" s="1"/>
  <c r="K224" i="2" s="1"/>
  <c r="J225" i="2" a="1"/>
  <c r="J225" i="2"/>
  <c r="K225" i="2" s="1"/>
  <c r="J226" i="2" a="1"/>
  <c r="J226" i="2" s="1"/>
  <c r="K226" i="2" s="1"/>
  <c r="J227" i="2" a="1"/>
  <c r="J227" i="2" s="1"/>
  <c r="K227" i="2" s="1"/>
  <c r="J228" i="2" a="1"/>
  <c r="J228" i="2" s="1"/>
  <c r="K228" i="2" s="1"/>
  <c r="J229" i="2" a="1"/>
  <c r="J229" i="2" s="1"/>
  <c r="K229" i="2" s="1"/>
  <c r="J230" i="2" a="1"/>
  <c r="J230" i="2" s="1"/>
  <c r="K230" i="2" s="1"/>
  <c r="J231" i="2" a="1"/>
  <c r="J231" i="2" s="1"/>
  <c r="K231" i="2" s="1"/>
  <c r="J232" i="2" a="1"/>
  <c r="J232" i="2" s="1"/>
  <c r="K232" i="2" s="1"/>
  <c r="J233" i="2" a="1"/>
  <c r="J233" i="2" s="1"/>
  <c r="K233" i="2" s="1"/>
  <c r="J234" i="2" a="1"/>
  <c r="J234" i="2" s="1"/>
  <c r="K234" i="2" s="1"/>
  <c r="J235" i="2" a="1"/>
  <c r="J235" i="2" s="1"/>
  <c r="K235" i="2" s="1"/>
  <c r="J236" i="2" a="1"/>
  <c r="J236" i="2" s="1"/>
  <c r="K236" i="2" s="1"/>
  <c r="J237" i="2" a="1"/>
  <c r="J237" i="2" s="1"/>
  <c r="K237" i="2" s="1"/>
  <c r="J238" i="2" a="1"/>
  <c r="J238" i="2" s="1"/>
  <c r="K238" i="2" s="1"/>
  <c r="J239" i="2" a="1"/>
  <c r="J239" i="2" s="1"/>
  <c r="K239" i="2" s="1"/>
  <c r="J240" i="2" a="1"/>
  <c r="J240" i="2" s="1"/>
  <c r="K240" i="2" s="1"/>
  <c r="J241" i="2" a="1"/>
  <c r="J241" i="2" s="1"/>
  <c r="K241" i="2" s="1"/>
  <c r="J242" i="2" a="1"/>
  <c r="J242" i="2" s="1"/>
  <c r="K242" i="2" s="1"/>
  <c r="J243" i="2" a="1"/>
  <c r="J243" i="2" s="1"/>
  <c r="K243" i="2" s="1"/>
  <c r="J244" i="2" a="1"/>
  <c r="J244" i="2" s="1"/>
  <c r="K244" i="2" s="1"/>
  <c r="J245" i="2" a="1"/>
  <c r="J245" i="2" s="1"/>
  <c r="K245" i="2" s="1"/>
  <c r="J246" i="2" a="1"/>
  <c r="J246" i="2" s="1"/>
  <c r="K246" i="2" s="1"/>
  <c r="J247" i="2" a="1"/>
  <c r="J247" i="2" s="1"/>
  <c r="K247" i="2" s="1"/>
  <c r="J248" i="2" a="1"/>
  <c r="J248" i="2" s="1"/>
  <c r="K248" i="2" s="1"/>
  <c r="J249" i="2" a="1"/>
  <c r="J249" i="2"/>
  <c r="K249" i="2" s="1"/>
  <c r="J250" i="2" a="1"/>
  <c r="J250" i="2" s="1"/>
  <c r="K250" i="2" s="1"/>
  <c r="J251" i="2" a="1"/>
  <c r="J251" i="2" s="1"/>
  <c r="K251" i="2" s="1"/>
  <c r="J252" i="2" a="1"/>
  <c r="J252" i="2" s="1"/>
  <c r="K252" i="2" s="1"/>
  <c r="J253" i="2" a="1"/>
  <c r="J253" i="2" s="1"/>
  <c r="K253" i="2" s="1"/>
  <c r="J254" i="2" a="1"/>
  <c r="J254" i="2" s="1"/>
  <c r="K254" i="2" s="1"/>
  <c r="J255" i="2" a="1"/>
  <c r="J255" i="2" s="1"/>
  <c r="K255" i="2" s="1"/>
  <c r="J256" i="2" a="1"/>
  <c r="J256" i="2" s="1"/>
  <c r="K256" i="2" s="1"/>
  <c r="J257" i="2" a="1"/>
  <c r="J257" i="2" s="1"/>
  <c r="K257" i="2" s="1"/>
  <c r="J258" i="2" a="1"/>
  <c r="J258" i="2" s="1"/>
  <c r="K258" i="2" s="1"/>
  <c r="J259" i="2" a="1"/>
  <c r="J259" i="2" s="1"/>
  <c r="K259" i="2" s="1"/>
  <c r="J260" i="2" a="1"/>
  <c r="J260" i="2" s="1"/>
  <c r="K260" i="2" s="1"/>
  <c r="J261" i="2" a="1"/>
  <c r="J261" i="2" s="1"/>
  <c r="J262" i="2" a="1"/>
  <c r="J262" i="2" s="1"/>
  <c r="K262" i="2" s="1"/>
  <c r="J263" i="2" a="1"/>
  <c r="J263" i="2" s="1"/>
  <c r="K263" i="2" s="1"/>
  <c r="J264" i="2" a="1"/>
  <c r="J264" i="2" s="1"/>
  <c r="K264" i="2" s="1"/>
  <c r="J265" i="2" a="1"/>
  <c r="J265" i="2" s="1"/>
  <c r="K265" i="2" s="1"/>
  <c r="J266" i="2" a="1"/>
  <c r="J266" i="2"/>
  <c r="K266" i="2" s="1"/>
  <c r="J267" i="2" a="1"/>
  <c r="J267" i="2" s="1"/>
  <c r="K267" i="2" s="1"/>
  <c r="J268" i="2" a="1"/>
  <c r="J268" i="2" s="1"/>
  <c r="K268" i="2" s="1"/>
  <c r="J269" i="2" a="1"/>
  <c r="J269" i="2" s="1"/>
  <c r="K269" i="2" s="1"/>
  <c r="J270" i="2" a="1"/>
  <c r="J270" i="2" s="1"/>
  <c r="K270" i="2" s="1"/>
  <c r="J271" i="2" a="1"/>
  <c r="J271" i="2" s="1"/>
  <c r="K271" i="2" s="1"/>
  <c r="J272" i="2" a="1"/>
  <c r="J272" i="2" s="1"/>
  <c r="K272" i="2" s="1"/>
  <c r="J273" i="2" a="1"/>
  <c r="J273" i="2" s="1"/>
  <c r="K273" i="2" s="1"/>
  <c r="J274" i="2" a="1"/>
  <c r="J274" i="2" s="1"/>
  <c r="K274" i="2" s="1"/>
  <c r="J275" i="2" a="1"/>
  <c r="J275" i="2" s="1"/>
  <c r="K275" i="2" s="1"/>
  <c r="J276" i="2" a="1"/>
  <c r="J276" i="2" s="1"/>
  <c r="K276" i="2" s="1"/>
  <c r="J277" i="2" a="1"/>
  <c r="J277" i="2" s="1"/>
  <c r="K277" i="2" s="1"/>
  <c r="J278" i="2" a="1"/>
  <c r="J278" i="2" s="1"/>
  <c r="K278" i="2" s="1"/>
  <c r="J279" i="2" a="1"/>
  <c r="J279" i="2" s="1"/>
  <c r="K279" i="2" s="1"/>
  <c r="J280" i="2" a="1"/>
  <c r="J280" i="2" s="1"/>
  <c r="K280" i="2" s="1"/>
  <c r="J281" i="2" a="1"/>
  <c r="J281" i="2" s="1"/>
  <c r="K281" i="2" s="1"/>
  <c r="J282" i="2" a="1"/>
  <c r="J282" i="2" s="1"/>
  <c r="K282" i="2" s="1"/>
  <c r="J283" i="2" a="1"/>
  <c r="J283" i="2"/>
  <c r="K283" i="2" s="1"/>
  <c r="J284" i="2" a="1"/>
  <c r="J284" i="2" s="1"/>
  <c r="K284" i="2" s="1"/>
  <c r="J285" i="2" a="1"/>
  <c r="J285" i="2" s="1"/>
  <c r="K285" i="2" s="1"/>
  <c r="J286" i="2" a="1"/>
  <c r="J286" i="2" s="1"/>
  <c r="K286" i="2" s="1"/>
  <c r="J287" i="2" a="1"/>
  <c r="J287" i="2" s="1"/>
  <c r="K287" i="2" s="1"/>
  <c r="J288" i="2" a="1"/>
  <c r="J288" i="2" s="1"/>
  <c r="K288" i="2" s="1"/>
  <c r="J289" i="2" a="1"/>
  <c r="J289" i="2" s="1"/>
  <c r="K289" i="2" s="1"/>
  <c r="J290" i="2" a="1"/>
  <c r="J290" i="2" s="1"/>
  <c r="K290" i="2" s="1"/>
  <c r="J291" i="2" a="1"/>
  <c r="J291" i="2" s="1"/>
  <c r="K291" i="2" s="1"/>
  <c r="J292" i="2" a="1"/>
  <c r="J292" i="2" s="1"/>
  <c r="K292" i="2" s="1"/>
  <c r="J293" i="2" a="1"/>
  <c r="J293" i="2" s="1"/>
  <c r="K293" i="2" s="1"/>
  <c r="J294" i="2" a="1"/>
  <c r="J294" i="2" s="1"/>
  <c r="K294" i="2" s="1"/>
  <c r="J295" i="2" a="1"/>
  <c r="J295" i="2" s="1"/>
  <c r="K295" i="2" s="1"/>
  <c r="J296" i="2" a="1"/>
  <c r="J296" i="2" s="1"/>
  <c r="K296" i="2" s="1"/>
  <c r="J297" i="2" a="1"/>
  <c r="J297" i="2"/>
  <c r="K297" i="2" s="1"/>
  <c r="J298" i="2" a="1"/>
  <c r="J298" i="2"/>
  <c r="K298" i="2" s="1"/>
  <c r="K20" i="2"/>
  <c r="K84" i="2"/>
  <c r="K85" i="2"/>
  <c r="K101" i="2"/>
  <c r="K118" i="2"/>
  <c r="K124" i="2"/>
  <c r="K125" i="2"/>
  <c r="K165" i="2"/>
  <c r="K173" i="2"/>
  <c r="K204" i="2"/>
  <c r="K261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M5" i="2" a="1"/>
  <c r="M5" i="2" s="1"/>
  <c r="M6" i="2" a="1"/>
  <c r="M6" i="2" s="1"/>
  <c r="M7" i="2" a="1"/>
  <c r="M7" i="2" s="1"/>
  <c r="M8" i="2" a="1"/>
  <c r="M8" i="2" s="1"/>
  <c r="M9" i="2" a="1"/>
  <c r="M9" i="2" s="1"/>
  <c r="M10" i="2" a="1"/>
  <c r="M10" i="2" s="1"/>
  <c r="M11" i="2" a="1"/>
  <c r="M11" i="2" s="1"/>
  <c r="M12" i="2" a="1"/>
  <c r="M12" i="2" s="1"/>
  <c r="M13" i="2" a="1"/>
  <c r="M13" i="2" s="1"/>
  <c r="M14" i="2" a="1"/>
  <c r="M14" i="2"/>
  <c r="M15" i="2" a="1"/>
  <c r="M15" i="2" s="1"/>
  <c r="M16" i="2" a="1"/>
  <c r="M16" i="2" s="1"/>
  <c r="M17" i="2" a="1"/>
  <c r="M17" i="2" s="1"/>
  <c r="M18" i="2" a="1"/>
  <c r="M18" i="2" s="1"/>
  <c r="M19" i="2" a="1"/>
  <c r="M19" i="2" s="1"/>
  <c r="M20" i="2" a="1"/>
  <c r="M20" i="2" s="1"/>
  <c r="M21" i="2" a="1"/>
  <c r="M21" i="2" s="1"/>
  <c r="M22" i="2" a="1"/>
  <c r="M22" i="2" s="1"/>
  <c r="M23" i="2" a="1"/>
  <c r="M23" i="2" s="1"/>
  <c r="M24" i="2" a="1"/>
  <c r="M24" i="2" s="1"/>
  <c r="M25" i="2" a="1"/>
  <c r="M25" i="2" s="1"/>
  <c r="M26" i="2" a="1"/>
  <c r="M26" i="2" s="1"/>
  <c r="M27" i="2" a="1"/>
  <c r="M27" i="2"/>
  <c r="M28" i="2" a="1"/>
  <c r="M28" i="2" s="1"/>
  <c r="M29" i="2" a="1"/>
  <c r="M29" i="2" s="1"/>
  <c r="M30" i="2" a="1"/>
  <c r="M30" i="2" s="1"/>
  <c r="M31" i="2" a="1"/>
  <c r="M31" i="2" s="1"/>
  <c r="M32" i="2" a="1"/>
  <c r="M32" i="2" s="1"/>
  <c r="M33" i="2" a="1"/>
  <c r="M33" i="2" s="1"/>
  <c r="M34" i="2" a="1"/>
  <c r="M34" i="2"/>
  <c r="M35" i="2" a="1"/>
  <c r="M35" i="2" s="1"/>
  <c r="M36" i="2" a="1"/>
  <c r="M36" i="2" s="1"/>
  <c r="M37" i="2" a="1"/>
  <c r="M37" i="2" s="1"/>
  <c r="M38" i="2" a="1"/>
  <c r="M38" i="2" s="1"/>
  <c r="M39" i="2" a="1"/>
  <c r="M39" i="2" s="1"/>
  <c r="M40" i="2" a="1"/>
  <c r="M40" i="2" s="1"/>
  <c r="M41" i="2" a="1"/>
  <c r="M41" i="2" s="1"/>
  <c r="M42" i="2" a="1"/>
  <c r="M42" i="2" s="1"/>
  <c r="M43" i="2" a="1"/>
  <c r="M43" i="2" s="1"/>
  <c r="M44" i="2" a="1"/>
  <c r="M44" i="2" s="1"/>
  <c r="M45" i="2" a="1"/>
  <c r="M45" i="2" s="1"/>
  <c r="M46" i="2" a="1"/>
  <c r="M46" i="2" s="1"/>
  <c r="M47" i="2" a="1"/>
  <c r="M47" i="2"/>
  <c r="M48" i="2" a="1"/>
  <c r="M48" i="2" s="1"/>
  <c r="M49" i="2" a="1"/>
  <c r="M49" i="2" s="1"/>
  <c r="M50" i="2" a="1"/>
  <c r="M50" i="2" s="1"/>
  <c r="M51" i="2" a="1"/>
  <c r="M51" i="2" s="1"/>
  <c r="M52" i="2" a="1"/>
  <c r="M52" i="2" s="1"/>
  <c r="M53" i="2" a="1"/>
  <c r="M53" i="2" s="1"/>
  <c r="M54" i="2" a="1"/>
  <c r="M54" i="2" s="1"/>
  <c r="M55" i="2" a="1"/>
  <c r="M55" i="2" s="1"/>
  <c r="M56" i="2" a="1"/>
  <c r="M56" i="2" s="1"/>
  <c r="M57" i="2" a="1"/>
  <c r="M57" i="2" s="1"/>
  <c r="M58" i="2" a="1"/>
  <c r="M58" i="2" s="1"/>
  <c r="M59" i="2" a="1"/>
  <c r="M59" i="2" s="1"/>
  <c r="M60" i="2" a="1"/>
  <c r="M60" i="2" s="1"/>
  <c r="M61" i="2" a="1"/>
  <c r="M61" i="2" s="1"/>
  <c r="M62" i="2" a="1"/>
  <c r="M62" i="2" s="1"/>
  <c r="M63" i="2" a="1"/>
  <c r="M63" i="2" s="1"/>
  <c r="M64" i="2" a="1"/>
  <c r="M64" i="2" s="1"/>
  <c r="M65" i="2" a="1"/>
  <c r="M65" i="2" s="1"/>
  <c r="M66" i="2" a="1"/>
  <c r="M66" i="2" s="1"/>
  <c r="M67" i="2" a="1"/>
  <c r="M67" i="2" s="1"/>
  <c r="M68" i="2" a="1"/>
  <c r="M68" i="2" s="1"/>
  <c r="M69" i="2" a="1"/>
  <c r="M69" i="2" s="1"/>
  <c r="M70" i="2" a="1"/>
  <c r="M70" i="2" s="1"/>
  <c r="M71" i="2" a="1"/>
  <c r="M71" i="2" s="1"/>
  <c r="M72" i="2" a="1"/>
  <c r="M72" i="2" s="1"/>
  <c r="M73" i="2" a="1"/>
  <c r="M73" i="2" s="1"/>
  <c r="M74" i="2" a="1"/>
  <c r="M74" i="2" s="1"/>
  <c r="M75" i="2" a="1"/>
  <c r="M75" i="2"/>
  <c r="M76" i="2" a="1"/>
  <c r="M76" i="2" s="1"/>
  <c r="M77" i="2" a="1"/>
  <c r="M77" i="2" s="1"/>
  <c r="M78" i="2" a="1"/>
  <c r="M78" i="2" s="1"/>
  <c r="M79" i="2" a="1"/>
  <c r="M79" i="2" s="1"/>
  <c r="M80" i="2" a="1"/>
  <c r="M80" i="2" s="1"/>
  <c r="M81" i="2" a="1"/>
  <c r="M81" i="2" s="1"/>
  <c r="M82" i="2" a="1"/>
  <c r="M82" i="2" s="1"/>
  <c r="M83" i="2" a="1"/>
  <c r="M83" i="2" s="1"/>
  <c r="M84" i="2" a="1"/>
  <c r="M84" i="2" s="1"/>
  <c r="M85" i="2" a="1"/>
  <c r="M85" i="2" s="1"/>
  <c r="M86" i="2" a="1"/>
  <c r="M86" i="2" s="1"/>
  <c r="M87" i="2" a="1"/>
  <c r="M87" i="2" s="1"/>
  <c r="M88" i="2" a="1"/>
  <c r="M88" i="2" s="1"/>
  <c r="M89" i="2" a="1"/>
  <c r="M89" i="2" s="1"/>
  <c r="M90" i="2" a="1"/>
  <c r="M90" i="2" s="1"/>
  <c r="M91" i="2" a="1"/>
  <c r="M91" i="2" s="1"/>
  <c r="M92" i="2" a="1"/>
  <c r="M92" i="2" s="1"/>
  <c r="M93" i="2" a="1"/>
  <c r="M93" i="2" s="1"/>
  <c r="M94" i="2" a="1"/>
  <c r="M94" i="2" s="1"/>
  <c r="M95" i="2" a="1"/>
  <c r="M95" i="2" s="1"/>
  <c r="M96" i="2" a="1"/>
  <c r="M96" i="2" s="1"/>
  <c r="M97" i="2" a="1"/>
  <c r="M97" i="2" s="1"/>
  <c r="M98" i="2" a="1"/>
  <c r="M98" i="2" s="1"/>
  <c r="M99" i="2" a="1"/>
  <c r="M99" i="2" s="1"/>
  <c r="M100" i="2" a="1"/>
  <c r="M100" i="2" s="1"/>
  <c r="M101" i="2" a="1"/>
  <c r="M101" i="2" s="1"/>
  <c r="M102" i="2" a="1"/>
  <c r="M102" i="2" s="1"/>
  <c r="M103" i="2" a="1"/>
  <c r="M103" i="2" s="1"/>
  <c r="M104" i="2" a="1"/>
  <c r="M104" i="2" s="1"/>
  <c r="M105" i="2" a="1"/>
  <c r="M105" i="2" s="1"/>
  <c r="M106" i="2" a="1"/>
  <c r="M106" i="2" s="1"/>
  <c r="M107" i="2" a="1"/>
  <c r="M107" i="2" s="1"/>
  <c r="M108" i="2" a="1"/>
  <c r="M108" i="2" s="1"/>
  <c r="M109" i="2" a="1"/>
  <c r="M109" i="2" s="1"/>
  <c r="M110" i="2" a="1"/>
  <c r="M110" i="2" s="1"/>
  <c r="M111" i="2" a="1"/>
  <c r="M111" i="2" s="1"/>
  <c r="M112" i="2" a="1"/>
  <c r="M112" i="2" s="1"/>
  <c r="M113" i="2" a="1"/>
  <c r="M113" i="2" s="1"/>
  <c r="M114" i="2" a="1"/>
  <c r="M114" i="2" s="1"/>
  <c r="M115" i="2" a="1"/>
  <c r="M115" i="2" s="1"/>
  <c r="M116" i="2" a="1"/>
  <c r="M116" i="2" s="1"/>
  <c r="M117" i="2" a="1"/>
  <c r="M117" i="2" s="1"/>
  <c r="M118" i="2" a="1"/>
  <c r="M118" i="2"/>
  <c r="M119" i="2" a="1"/>
  <c r="M119" i="2" s="1"/>
  <c r="M120" i="2" a="1"/>
  <c r="M120" i="2" s="1"/>
  <c r="M121" i="2" a="1"/>
  <c r="M121" i="2" s="1"/>
  <c r="M122" i="2" a="1"/>
  <c r="M122" i="2" s="1"/>
  <c r="M123" i="2" a="1"/>
  <c r="M123" i="2" s="1"/>
  <c r="M124" i="2" a="1"/>
  <c r="M124" i="2" s="1"/>
  <c r="M125" i="2" a="1"/>
  <c r="M125" i="2" s="1"/>
  <c r="M126" i="2" a="1"/>
  <c r="M126" i="2" s="1"/>
  <c r="M127" i="2" a="1"/>
  <c r="M127" i="2" s="1"/>
  <c r="M128" i="2" a="1"/>
  <c r="M128" i="2" s="1"/>
  <c r="M129" i="2" a="1"/>
  <c r="M129" i="2" s="1"/>
  <c r="M130" i="2" a="1"/>
  <c r="M130" i="2" s="1"/>
  <c r="M131" i="2" a="1"/>
  <c r="M131" i="2" s="1"/>
  <c r="M132" i="2" a="1"/>
  <c r="M132" i="2" s="1"/>
  <c r="M133" i="2" a="1"/>
  <c r="M133" i="2" s="1"/>
  <c r="M134" i="2" a="1"/>
  <c r="M134" i="2" s="1"/>
  <c r="M135" i="2" a="1"/>
  <c r="M135" i="2" s="1"/>
  <c r="M136" i="2" a="1"/>
  <c r="M136" i="2" s="1"/>
  <c r="M137" i="2" a="1"/>
  <c r="M137" i="2" s="1"/>
  <c r="M138" i="2" a="1"/>
  <c r="M138" i="2" s="1"/>
  <c r="M139" i="2" a="1"/>
  <c r="M139" i="2" s="1"/>
  <c r="M140" i="2" a="1"/>
  <c r="M140" i="2" s="1"/>
  <c r="M141" i="2" a="1"/>
  <c r="M141" i="2" s="1"/>
  <c r="M142" i="2" a="1"/>
  <c r="M142" i="2" s="1"/>
  <c r="M143" i="2" a="1"/>
  <c r="M143" i="2" s="1"/>
  <c r="M144" i="2" a="1"/>
  <c r="M144" i="2" s="1"/>
  <c r="M145" i="2" a="1"/>
  <c r="M145" i="2" s="1"/>
  <c r="M146" i="2" a="1"/>
  <c r="M146" i="2" s="1"/>
  <c r="M147" i="2" a="1"/>
  <c r="M147" i="2" s="1"/>
  <c r="M148" i="2" a="1"/>
  <c r="M148" i="2" s="1"/>
  <c r="M149" i="2" a="1"/>
  <c r="M149" i="2" s="1"/>
  <c r="M150" i="2" a="1"/>
  <c r="M150" i="2" s="1"/>
  <c r="M151" i="2" a="1"/>
  <c r="M151" i="2" s="1"/>
  <c r="M152" i="2" a="1"/>
  <c r="M152" i="2" s="1"/>
  <c r="M153" i="2" a="1"/>
  <c r="M153" i="2" s="1"/>
  <c r="M154" i="2" a="1"/>
  <c r="M154" i="2" s="1"/>
  <c r="M155" i="2" a="1"/>
  <c r="M155" i="2" s="1"/>
  <c r="M156" i="2" a="1"/>
  <c r="M156" i="2" s="1"/>
  <c r="M157" i="2" a="1"/>
  <c r="M157" i="2" s="1"/>
  <c r="M158" i="2" a="1"/>
  <c r="M158" i="2" s="1"/>
  <c r="M159" i="2" a="1"/>
  <c r="M159" i="2" s="1"/>
  <c r="M160" i="2" a="1"/>
  <c r="M160" i="2" s="1"/>
  <c r="M161" i="2" a="1"/>
  <c r="M161" i="2" s="1"/>
  <c r="M162" i="2" a="1"/>
  <c r="M162" i="2" s="1"/>
  <c r="M163" i="2" a="1"/>
  <c r="M163" i="2" s="1"/>
  <c r="M164" i="2" a="1"/>
  <c r="M164" i="2"/>
  <c r="M165" i="2" a="1"/>
  <c r="M165" i="2" s="1"/>
  <c r="M166" i="2" a="1"/>
  <c r="M166" i="2" s="1"/>
  <c r="M167" i="2" a="1"/>
  <c r="M167" i="2" s="1"/>
  <c r="M168" i="2" a="1"/>
  <c r="M168" i="2" s="1"/>
  <c r="M169" i="2" a="1"/>
  <c r="M169" i="2" s="1"/>
  <c r="M170" i="2" a="1"/>
  <c r="M170" i="2" s="1"/>
  <c r="M171" i="2" a="1"/>
  <c r="M171" i="2" s="1"/>
  <c r="M172" i="2" a="1"/>
  <c r="M172" i="2" s="1"/>
  <c r="M173" i="2" a="1"/>
  <c r="M173" i="2" s="1"/>
  <c r="M174" i="2" a="1"/>
  <c r="M174" i="2" s="1"/>
  <c r="M175" i="2" a="1"/>
  <c r="M175" i="2" s="1"/>
  <c r="M176" i="2" a="1"/>
  <c r="M176" i="2" s="1"/>
  <c r="M177" i="2" a="1"/>
  <c r="M177" i="2" s="1"/>
  <c r="M178" i="2" a="1"/>
  <c r="M178" i="2" s="1"/>
  <c r="M179" i="2" a="1"/>
  <c r="M179" i="2" s="1"/>
  <c r="M180" i="2" a="1"/>
  <c r="M180" i="2" s="1"/>
  <c r="M181" i="2" a="1"/>
  <c r="M181" i="2" s="1"/>
  <c r="M182" i="2" a="1"/>
  <c r="M182" i="2" s="1"/>
  <c r="M183" i="2" a="1"/>
  <c r="M183" i="2" s="1"/>
  <c r="M184" i="2" a="1"/>
  <c r="M184" i="2" s="1"/>
  <c r="M185" i="2" a="1"/>
  <c r="M185" i="2" s="1"/>
  <c r="M186" i="2" a="1"/>
  <c r="M186" i="2" s="1"/>
  <c r="M187" i="2" a="1"/>
  <c r="M187" i="2" s="1"/>
  <c r="M188" i="2" a="1"/>
  <c r="M188" i="2" s="1"/>
  <c r="M189" i="2" a="1"/>
  <c r="M189" i="2" s="1"/>
  <c r="M190" i="2" a="1"/>
  <c r="M190" i="2" s="1"/>
  <c r="M191" i="2" a="1"/>
  <c r="M191" i="2" s="1"/>
  <c r="M192" i="2" a="1"/>
  <c r="M192" i="2" s="1"/>
  <c r="M193" i="2" a="1"/>
  <c r="M193" i="2" s="1"/>
  <c r="M194" i="2" a="1"/>
  <c r="M194" i="2"/>
  <c r="M195" i="2" a="1"/>
  <c r="M195" i="2" s="1"/>
  <c r="M196" i="2" a="1"/>
  <c r="M196" i="2" s="1"/>
  <c r="M197" i="2" a="1"/>
  <c r="M197" i="2" s="1"/>
  <c r="M198" i="2" a="1"/>
  <c r="M198" i="2" s="1"/>
  <c r="M199" i="2" a="1"/>
  <c r="M199" i="2" s="1"/>
  <c r="M200" i="2" a="1"/>
  <c r="M200" i="2" s="1"/>
  <c r="M201" i="2" a="1"/>
  <c r="M201" i="2" s="1"/>
  <c r="M202" i="2" a="1"/>
  <c r="M202" i="2" s="1"/>
  <c r="M203" i="2" a="1"/>
  <c r="M203" i="2" s="1"/>
  <c r="M204" i="2" a="1"/>
  <c r="M204" i="2" s="1"/>
  <c r="M205" i="2" a="1"/>
  <c r="M205" i="2" s="1"/>
  <c r="M206" i="2" a="1"/>
  <c r="M206" i="2" s="1"/>
  <c r="M207" i="2" a="1"/>
  <c r="M207" i="2" s="1"/>
  <c r="M208" i="2" a="1"/>
  <c r="M208" i="2" s="1"/>
  <c r="M209" i="2" a="1"/>
  <c r="M209" i="2" s="1"/>
  <c r="M210" i="2" a="1"/>
  <c r="M210" i="2" s="1"/>
  <c r="M211" i="2" a="1"/>
  <c r="M211" i="2" s="1"/>
  <c r="M212" i="2" a="1"/>
  <c r="M212" i="2" s="1"/>
  <c r="M213" i="2" a="1"/>
  <c r="M213" i="2" s="1"/>
  <c r="M214" i="2" a="1"/>
  <c r="M214" i="2" s="1"/>
  <c r="M215" i="2" a="1"/>
  <c r="M215" i="2" s="1"/>
  <c r="M216" i="2" a="1"/>
  <c r="M216" i="2" s="1"/>
  <c r="M217" i="2" a="1"/>
  <c r="M217" i="2" s="1"/>
  <c r="M218" i="2" a="1"/>
  <c r="M218" i="2" s="1"/>
  <c r="M219" i="2" a="1"/>
  <c r="M219" i="2" s="1"/>
  <c r="M220" i="2" a="1"/>
  <c r="M220" i="2" s="1"/>
  <c r="M221" i="2" a="1"/>
  <c r="M221" i="2" s="1"/>
  <c r="M222" i="2" a="1"/>
  <c r="M222" i="2" s="1"/>
  <c r="M223" i="2" a="1"/>
  <c r="M223" i="2" s="1"/>
  <c r="M224" i="2" a="1"/>
  <c r="M224" i="2" s="1"/>
  <c r="M225" i="2" a="1"/>
  <c r="M225" i="2" s="1"/>
  <c r="M226" i="2" a="1"/>
  <c r="M226" i="2" s="1"/>
  <c r="M227" i="2" a="1"/>
  <c r="M227" i="2" s="1"/>
  <c r="M228" i="2" a="1"/>
  <c r="M228" i="2" s="1"/>
  <c r="M229" i="2" a="1"/>
  <c r="M229" i="2" s="1"/>
  <c r="M230" i="2" a="1"/>
  <c r="M230" i="2" s="1"/>
  <c r="M231" i="2" a="1"/>
  <c r="M231" i="2" s="1"/>
  <c r="M232" i="2" a="1"/>
  <c r="M232" i="2" s="1"/>
  <c r="M233" i="2" a="1"/>
  <c r="M233" i="2" s="1"/>
  <c r="M234" i="2" a="1"/>
  <c r="M234" i="2" s="1"/>
  <c r="M235" i="2" a="1"/>
  <c r="M235" i="2" s="1"/>
  <c r="M236" i="2" a="1"/>
  <c r="M236" i="2" s="1"/>
  <c r="M237" i="2" a="1"/>
  <c r="M237" i="2" s="1"/>
  <c r="M238" i="2" a="1"/>
  <c r="M238" i="2" s="1"/>
  <c r="M239" i="2" a="1"/>
  <c r="M239" i="2" s="1"/>
  <c r="M240" i="2" a="1"/>
  <c r="M240" i="2" s="1"/>
  <c r="M241" i="2" a="1"/>
  <c r="M241" i="2" s="1"/>
  <c r="M242" i="2" a="1"/>
  <c r="M242" i="2"/>
  <c r="M243" i="2" a="1"/>
  <c r="M243" i="2" s="1"/>
  <c r="M244" i="2" a="1"/>
  <c r="M244" i="2" s="1"/>
  <c r="M245" i="2" a="1"/>
  <c r="M245" i="2" s="1"/>
  <c r="M246" i="2" a="1"/>
  <c r="M246" i="2" s="1"/>
  <c r="M247" i="2" a="1"/>
  <c r="M247" i="2" s="1"/>
  <c r="M248" i="2" a="1"/>
  <c r="M248" i="2" s="1"/>
  <c r="M249" i="2" a="1"/>
  <c r="M249" i="2" s="1"/>
  <c r="M250" i="2" a="1"/>
  <c r="M250" i="2" s="1"/>
  <c r="M251" i="2" a="1"/>
  <c r="M251" i="2" s="1"/>
  <c r="M252" i="2" a="1"/>
  <c r="M252" i="2"/>
  <c r="M253" i="2" a="1"/>
  <c r="M253" i="2" s="1"/>
  <c r="M254" i="2" a="1"/>
  <c r="M254" i="2"/>
  <c r="M255" i="2" a="1"/>
  <c r="M255" i="2" s="1"/>
  <c r="M256" i="2" a="1"/>
  <c r="M256" i="2"/>
  <c r="M257" i="2" a="1"/>
  <c r="M257" i="2" s="1"/>
  <c r="M258" i="2" a="1"/>
  <c r="M258" i="2" s="1"/>
  <c r="M259" i="2" a="1"/>
  <c r="M259" i="2" s="1"/>
  <c r="M260" i="2" a="1"/>
  <c r="M260" i="2" s="1"/>
  <c r="M261" i="2" a="1"/>
  <c r="M261" i="2"/>
  <c r="M262" i="2" a="1"/>
  <c r="M262" i="2" s="1"/>
  <c r="M263" i="2" a="1"/>
  <c r="M263" i="2" s="1"/>
  <c r="M264" i="2" a="1"/>
  <c r="M264" i="2"/>
  <c r="M265" i="2" a="1"/>
  <c r="M265" i="2" s="1"/>
  <c r="M266" i="2" a="1"/>
  <c r="M266" i="2" s="1"/>
  <c r="M267" i="2" a="1"/>
  <c r="M267" i="2"/>
  <c r="M268" i="2" a="1"/>
  <c r="M268" i="2" s="1"/>
  <c r="M269" i="2" a="1"/>
  <c r="M269" i="2" s="1"/>
  <c r="M270" i="2" a="1"/>
  <c r="M270" i="2" s="1"/>
  <c r="M271" i="2" a="1"/>
  <c r="M271" i="2" s="1"/>
  <c r="M272" i="2" a="1"/>
  <c r="M272" i="2" s="1"/>
  <c r="M273" i="2" a="1"/>
  <c r="M273" i="2"/>
  <c r="M274" i="2" a="1"/>
  <c r="M274" i="2" s="1"/>
  <c r="M275" i="2" a="1"/>
  <c r="M275" i="2"/>
  <c r="M276" i="2" a="1"/>
  <c r="M276" i="2" s="1"/>
  <c r="M277" i="2" a="1"/>
  <c r="M277" i="2" s="1"/>
  <c r="M278" i="2" a="1"/>
  <c r="M278" i="2"/>
  <c r="M279" i="2" a="1"/>
  <c r="M279" i="2" s="1"/>
  <c r="M280" i="2" a="1"/>
  <c r="M280" i="2" s="1"/>
  <c r="M281" i="2" a="1"/>
  <c r="M281" i="2" s="1"/>
  <c r="M282" i="2" a="1"/>
  <c r="M282" i="2" s="1"/>
  <c r="M283" i="2" a="1"/>
  <c r="M283" i="2" s="1"/>
  <c r="M284" i="2" a="1"/>
  <c r="M284" i="2"/>
  <c r="M285" i="2" a="1"/>
  <c r="M285" i="2" s="1"/>
  <c r="M286" i="2" a="1"/>
  <c r="M286" i="2" s="1"/>
  <c r="M287" i="2" a="1"/>
  <c r="M287" i="2" s="1"/>
  <c r="M288" i="2" a="1"/>
  <c r="M288" i="2" s="1"/>
  <c r="M289" i="2" a="1"/>
  <c r="M289" i="2"/>
  <c r="M290" i="2" a="1"/>
  <c r="M290" i="2" s="1"/>
  <c r="M291" i="2" a="1"/>
  <c r="M291" i="2" s="1"/>
  <c r="M292" i="2" a="1"/>
  <c r="M292" i="2" s="1"/>
  <c r="M293" i="2" a="1"/>
  <c r="M293" i="2" s="1"/>
  <c r="M294" i="2" a="1"/>
  <c r="M294" i="2" s="1"/>
  <c r="M295" i="2" a="1"/>
  <c r="M295" i="2" s="1"/>
  <c r="M296" i="2" a="1"/>
  <c r="M296" i="2"/>
  <c r="M297" i="2" a="1"/>
  <c r="M297" i="2" s="1"/>
  <c r="M298" i="2" a="1"/>
  <c r="M298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A36" i="1" l="1"/>
  <c r="A6" i="1"/>
  <c r="AE36" i="1"/>
  <c r="AE6" i="1"/>
  <c r="E53" i="1" l="1"/>
  <c r="N53" i="1"/>
  <c r="G60" i="1" l="1"/>
  <c r="E60" i="1"/>
  <c r="M60" i="1"/>
  <c r="K60" i="1"/>
  <c r="U3" i="2" a="1"/>
  <c r="U3" i="2" s="1"/>
  <c r="U2" i="2" a="1"/>
  <c r="U2" i="2" s="1"/>
  <c r="U1" i="2" a="1"/>
  <c r="U1" i="2" s="1"/>
  <c r="E23" i="1" l="1"/>
  <c r="E24" i="1" s="1"/>
  <c r="N23" i="1"/>
  <c r="E30" i="1" s="1"/>
  <c r="R23" i="1"/>
  <c r="R24" i="1" s="1"/>
  <c r="AA23" i="1"/>
  <c r="R30" i="1" s="1"/>
  <c r="E54" i="1"/>
  <c r="R53" i="1"/>
  <c r="T54" i="1" s="1"/>
  <c r="AA53" i="1"/>
  <c r="M30" i="1" l="1"/>
  <c r="K30" i="1"/>
  <c r="I30" i="1"/>
  <c r="T60" i="1"/>
  <c r="R60" i="1"/>
  <c r="X60" i="1"/>
  <c r="Z60" i="1"/>
  <c r="G30" i="1"/>
  <c r="R54" i="1"/>
  <c r="M54" i="1"/>
  <c r="K54" i="1"/>
  <c r="I54" i="1"/>
  <c r="G54" i="1"/>
  <c r="G24" i="1"/>
  <c r="I24" i="1"/>
  <c r="K24" i="1"/>
  <c r="M24" i="1"/>
  <c r="Z30" i="1"/>
  <c r="X30" i="1"/>
  <c r="V30" i="1"/>
  <c r="T30" i="1"/>
  <c r="V60" i="1"/>
  <c r="Z54" i="1"/>
  <c r="X54" i="1"/>
  <c r="V54" i="1"/>
  <c r="Z24" i="1"/>
  <c r="X24" i="1"/>
  <c r="F4" i="1" a="1"/>
  <c r="F4" i="1" s="1"/>
  <c r="V24" i="1"/>
  <c r="I60" i="1"/>
  <c r="T2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582B202-B31A-465F-8E6D-22E7AFE7C268}" keepAlive="1" name="クエリ - ロット数量ADO" description="ブック内の 'ロット数量ADO' クエリへの接続です。" type="5" refreshedVersion="8" background="1" saveData="1">
    <dbPr connection="Provider=Microsoft.Mashup.OleDb.1;Data Source=$Workbook$;Location=ロット数量ADO;Extended Properties=&quot;&quot;" command="SELECT * FROM [ロット数量ADO]"/>
  </connection>
  <connection id="2" xr16:uid="{DC212991-D704-4661-9C44-87CF8A080618}" keepAlive="1" name="クエリ - 番号ADO" description="ブック内の '番号ADO' クエリへの接続です。" type="5" refreshedVersion="8" background="1" saveData="1">
    <dbPr connection="Provider=Microsoft.Mashup.OleDb.1;Data Source=$Workbook$;Location=番号ADO;Extended Properties=&quot;&quot;" command="SELECT * FROM [番号ADO]"/>
  </connection>
  <connection id="3" xr16:uid="{CEA38A91-E31B-4E54-B8A9-39669D464D13}" keepAlive="1" name="クエリ - 番号ADO (3)" description="ブック内の '番号ADO (3)' クエリへの接続です。" type="5" refreshedVersion="8" background="1" saveData="1">
    <dbPr connection="Provider=Microsoft.Mashup.OleDb.1;Data Source=$Workbook$;Location=&quot;番号ADO (3)&quot;;Extended Properties=&quot;&quot;" command="SELECT * FROM [番号ADO (3)]"/>
  </connection>
  <connection id="4" xr16:uid="{50BE4038-7A1F-4E07-9F35-E6B3DCC28D26}" keepAlive="1" name="クエリ - 不良集計ゾーン別ADO" description="ブック内の '不良集計ゾーン別ADO' クエリへの接続です。" type="5" refreshedVersion="8" background="1" saveData="1">
    <dbPr connection="Provider=Microsoft.Mashup.OleDb.1;Data Source=$Workbook$;Location=不良集計ゾーン別ADO;Extended Properties=&quot;&quot;" command="SELECT * FROM [不良集計ゾーン別ADO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<sst xmlns="http://schemas.openxmlformats.org/spreadsheetml/2006/main" count="2101" uniqueCount="209">
  <si>
    <t>E</t>
  </si>
  <si>
    <t>D</t>
  </si>
  <si>
    <t>C</t>
  </si>
  <si>
    <t>B</t>
  </si>
  <si>
    <t>A</t>
  </si>
  <si>
    <t>Rr LH</t>
  </si>
  <si>
    <t>合計 / 数量</t>
  </si>
  <si>
    <t>行ラベル</t>
  </si>
  <si>
    <t>(複数のアイテム)</t>
  </si>
  <si>
    <t>発見2</t>
  </si>
  <si>
    <t>塗装</t>
  </si>
  <si>
    <t>発生</t>
  </si>
  <si>
    <t>日付</t>
  </si>
  <si>
    <t>Fr RH</t>
  </si>
  <si>
    <t>Fr LH</t>
  </si>
  <si>
    <t>次工程</t>
    <rPh sb="0" eb="3">
      <t>ジコウテイ</t>
    </rPh>
    <phoneticPr fontId="2"/>
  </si>
  <si>
    <t>自工程</t>
    <rPh sb="0" eb="3">
      <t>ジコウテイ</t>
    </rPh>
    <phoneticPr fontId="2"/>
  </si>
  <si>
    <t>m/d形式で入力</t>
    <rPh sb="3" eb="5">
      <t>ケイシキ</t>
    </rPh>
    <rPh sb="6" eb="8">
      <t>ニュウリョク</t>
    </rPh>
    <phoneticPr fontId="2"/>
  </si>
  <si>
    <t>終了日</t>
    <rPh sb="0" eb="3">
      <t>シュウリョウビ</t>
    </rPh>
    <phoneticPr fontId="2"/>
  </si>
  <si>
    <t>開始日</t>
    <rPh sb="0" eb="3">
      <t>カイシビ</t>
    </rPh>
    <phoneticPr fontId="2"/>
  </si>
  <si>
    <t>不良集計ゾーン別（データベースから読込）</t>
    <rPh sb="0" eb="4">
      <t>フリョウシュウケイ</t>
    </rPh>
    <rPh sb="7" eb="8">
      <t>ベツ</t>
    </rPh>
    <rPh sb="17" eb="19">
      <t>ヨミコミ</t>
    </rPh>
    <phoneticPr fontId="2"/>
  </si>
  <si>
    <t>ID</t>
  </si>
  <si>
    <t>品番</t>
  </si>
  <si>
    <t>ロット</t>
  </si>
  <si>
    <t>発見</t>
  </si>
  <si>
    <t>ゾーン</t>
  </si>
  <si>
    <t>番号</t>
  </si>
  <si>
    <t>数量</t>
  </si>
  <si>
    <t>モード</t>
    <phoneticPr fontId="2"/>
  </si>
  <si>
    <t>モード2</t>
    <phoneticPr fontId="2"/>
  </si>
  <si>
    <r>
      <t>発見</t>
    </r>
    <r>
      <rPr>
        <sz val="11"/>
        <color theme="0"/>
        <rFont val="游ゴシック"/>
        <family val="3"/>
        <charset val="128"/>
        <scheme val="minor"/>
      </rPr>
      <t>2</t>
    </r>
    <rPh sb="0" eb="2">
      <t>ハッケン</t>
    </rPh>
    <phoneticPr fontId="2"/>
  </si>
  <si>
    <t>発生</t>
    <rPh sb="0" eb="2">
      <t>ハッセイ</t>
    </rPh>
    <phoneticPr fontId="2"/>
  </si>
  <si>
    <t>Fr/Rr</t>
    <phoneticPr fontId="2"/>
  </si>
  <si>
    <t>RH/LH</t>
    <phoneticPr fontId="2"/>
  </si>
  <si>
    <t>アル/ノア</t>
    <phoneticPr fontId="2"/>
  </si>
  <si>
    <t>ノアFrLH</t>
  </si>
  <si>
    <t>K</t>
  </si>
  <si>
    <t>21</t>
  </si>
  <si>
    <t>28</t>
  </si>
  <si>
    <t>23</t>
  </si>
  <si>
    <t>24</t>
  </si>
  <si>
    <t>ノアFrRH</t>
  </si>
  <si>
    <t>ノアRrLH</t>
  </si>
  <si>
    <t>ノアRrRH</t>
  </si>
  <si>
    <t>アルFrLH</t>
  </si>
  <si>
    <t>41</t>
  </si>
  <si>
    <t>アルRrLH</t>
  </si>
  <si>
    <t>42</t>
  </si>
  <si>
    <t>48</t>
  </si>
  <si>
    <t>アルRrRH</t>
  </si>
  <si>
    <t>M</t>
  </si>
  <si>
    <t>12</t>
  </si>
  <si>
    <t>1</t>
  </si>
  <si>
    <t>33</t>
  </si>
  <si>
    <t>アルFrRH</t>
  </si>
  <si>
    <t>T</t>
  </si>
  <si>
    <t>32</t>
  </si>
  <si>
    <t>S</t>
  </si>
  <si>
    <t>2</t>
  </si>
  <si>
    <t>3</t>
  </si>
  <si>
    <t>22</t>
  </si>
  <si>
    <t>30</t>
  </si>
  <si>
    <t>26</t>
  </si>
  <si>
    <t>34</t>
  </si>
  <si>
    <t>5</t>
  </si>
  <si>
    <t>J</t>
  </si>
  <si>
    <t>4</t>
  </si>
  <si>
    <t>H</t>
  </si>
  <si>
    <t>35</t>
  </si>
  <si>
    <t>47</t>
  </si>
  <si>
    <t>6</t>
  </si>
  <si>
    <t>8</t>
  </si>
  <si>
    <t>7</t>
  </si>
  <si>
    <t>15</t>
  </si>
  <si>
    <t>25</t>
  </si>
  <si>
    <t>27</t>
  </si>
  <si>
    <t>45</t>
  </si>
  <si>
    <t>16</t>
  </si>
  <si>
    <t>13</t>
  </si>
  <si>
    <t>10</t>
  </si>
  <si>
    <t>36</t>
  </si>
  <si>
    <t>17</t>
  </si>
  <si>
    <t>18</t>
  </si>
  <si>
    <t>19</t>
  </si>
  <si>
    <t>G</t>
  </si>
  <si>
    <t>46</t>
  </si>
  <si>
    <t>37</t>
  </si>
  <si>
    <t>11</t>
  </si>
  <si>
    <t>38</t>
  </si>
  <si>
    <t>39</t>
  </si>
  <si>
    <t>20</t>
  </si>
  <si>
    <t>31</t>
  </si>
  <si>
    <t>9</t>
  </si>
  <si>
    <t>I</t>
  </si>
  <si>
    <t>X</t>
  </si>
  <si>
    <t>49</t>
  </si>
  <si>
    <t>Z</t>
  </si>
  <si>
    <t>14</t>
  </si>
  <si>
    <t>Y</t>
  </si>
  <si>
    <t>加工</t>
  </si>
  <si>
    <t>モール</t>
  </si>
  <si>
    <t>成形</t>
  </si>
  <si>
    <t>50</t>
  </si>
  <si>
    <t>40</t>
  </si>
  <si>
    <t>60</t>
  </si>
  <si>
    <t>70</t>
  </si>
  <si>
    <t>43</t>
  </si>
  <si>
    <t>44</t>
  </si>
  <si>
    <t>W</t>
  </si>
  <si>
    <t>V</t>
  </si>
  <si>
    <t>U</t>
  </si>
  <si>
    <t>R</t>
  </si>
  <si>
    <t>Q</t>
  </si>
  <si>
    <t>P</t>
  </si>
  <si>
    <t>N</t>
  </si>
  <si>
    <t>裏汚れ</t>
  </si>
  <si>
    <t>粘着</t>
  </si>
  <si>
    <t>裏キズ</t>
  </si>
  <si>
    <t>テープ</t>
  </si>
  <si>
    <t>落下</t>
  </si>
  <si>
    <t>構成不良</t>
  </si>
  <si>
    <t>F</t>
  </si>
  <si>
    <t>貼りずれ</t>
  </si>
  <si>
    <t>部品欠品</t>
  </si>
  <si>
    <t>付着異物</t>
  </si>
  <si>
    <t>汚れ</t>
  </si>
  <si>
    <t>キズ</t>
  </si>
  <si>
    <t>プライマー</t>
  </si>
  <si>
    <t>落下キズ</t>
  </si>
  <si>
    <t>金具失敗</t>
  </si>
  <si>
    <t>モール失敗</t>
  </si>
  <si>
    <t>金具忘れ</t>
  </si>
  <si>
    <t>爪曲げ不良</t>
  </si>
  <si>
    <t>たれ</t>
  </si>
  <si>
    <t>ワセリン</t>
  </si>
  <si>
    <t>セットミス</t>
  </si>
  <si>
    <t>マット</t>
  </si>
  <si>
    <t>修正跡</t>
  </si>
  <si>
    <t>ライン不良</t>
  </si>
  <si>
    <t>塗面キズ</t>
  </si>
  <si>
    <t>塗装ひげ</t>
  </si>
  <si>
    <t>ミスト</t>
  </si>
  <si>
    <t>29</t>
  </si>
  <si>
    <t>塗装はげ</t>
  </si>
  <si>
    <t>塗装面汚い</t>
  </si>
  <si>
    <t>塗装異物</t>
  </si>
  <si>
    <t>見切り不良</t>
  </si>
  <si>
    <t>塗料付着</t>
  </si>
  <si>
    <t>ピンホール</t>
  </si>
  <si>
    <t>スケ</t>
  </si>
  <si>
    <t>打出し不良</t>
  </si>
  <si>
    <t>取出し不良</t>
  </si>
  <si>
    <t>フローマーク</t>
  </si>
  <si>
    <t>穴バリ</t>
  </si>
  <si>
    <t>ヒケ</t>
  </si>
  <si>
    <t>バリ･毛バリ</t>
  </si>
  <si>
    <t>欠け</t>
  </si>
  <si>
    <t>まくれ</t>
  </si>
  <si>
    <t>ガス</t>
  </si>
  <si>
    <t>ショート</t>
  </si>
  <si>
    <t>割れ</t>
  </si>
  <si>
    <t>白化</t>
  </si>
  <si>
    <t>油</t>
  </si>
  <si>
    <t>糸引き</t>
  </si>
  <si>
    <t>シルバー</t>
  </si>
  <si>
    <t>ムラ</t>
  </si>
  <si>
    <t>カス</t>
  </si>
  <si>
    <t>異物</t>
  </si>
  <si>
    <t>ゴミ押し</t>
  </si>
  <si>
    <t>モード</t>
  </si>
  <si>
    <t>番号（データベースから読込）</t>
    <rPh sb="0" eb="2">
      <t>バンゴウ</t>
    </rPh>
    <rPh sb="11" eb="13">
      <t>ヨミコミ</t>
    </rPh>
    <phoneticPr fontId="2"/>
  </si>
  <si>
    <t>LH</t>
    <phoneticPr fontId="2"/>
  </si>
  <si>
    <t>RH</t>
    <phoneticPr fontId="2"/>
  </si>
  <si>
    <t>2. 各グラフの各単品での最大値に合わせて4つのグラフの縦軸目盛を揃えています。</t>
    <rPh sb="3" eb="4">
      <t>カク</t>
    </rPh>
    <rPh sb="8" eb="9">
      <t>カク</t>
    </rPh>
    <rPh sb="9" eb="11">
      <t>タンピン</t>
    </rPh>
    <rPh sb="13" eb="16">
      <t>サイダイチ</t>
    </rPh>
    <rPh sb="17" eb="18">
      <t>ア</t>
    </rPh>
    <rPh sb="28" eb="30">
      <t>タテジク</t>
    </rPh>
    <rPh sb="30" eb="32">
      <t>メモリ</t>
    </rPh>
    <rPh sb="33" eb="34">
      <t>ソロ</t>
    </rPh>
    <phoneticPr fontId="2"/>
  </si>
  <si>
    <t>3. 各単品での最大値のゾーンが自動的にフォーカスされるようになっています。</t>
    <rPh sb="3" eb="4">
      <t>カク</t>
    </rPh>
    <rPh sb="4" eb="6">
      <t>タンピン</t>
    </rPh>
    <rPh sb="8" eb="11">
      <t>サイダイチ</t>
    </rPh>
    <rPh sb="16" eb="19">
      <t>ジドウテキ</t>
    </rPh>
    <phoneticPr fontId="2"/>
  </si>
  <si>
    <t>使用方法</t>
    <rPh sb="0" eb="4">
      <t>シヨウホウホウ</t>
    </rPh>
    <phoneticPr fontId="2"/>
  </si>
  <si>
    <t>0. ブックを開いたら1回だけ「更新」ボタンを押してください。（データベースから最新版を取得する目的）</t>
    <rPh sb="7" eb="8">
      <t>ヒラ</t>
    </rPh>
    <rPh sb="12" eb="13">
      <t>カイ</t>
    </rPh>
    <rPh sb="16" eb="18">
      <t>コウシン</t>
    </rPh>
    <rPh sb="23" eb="24">
      <t>オ</t>
    </rPh>
    <rPh sb="40" eb="43">
      <t>サイシンバン</t>
    </rPh>
    <rPh sb="44" eb="46">
      <t>シュトク</t>
    </rPh>
    <rPh sb="48" eb="50">
      <t>モクテキ</t>
    </rPh>
    <phoneticPr fontId="2"/>
  </si>
  <si>
    <t>1. 「日付」「工程」欄に入力して「展開」ボタンを押してください。</t>
    <rPh sb="4" eb="6">
      <t>ヒヅケ</t>
    </rPh>
    <rPh sb="8" eb="10">
      <t>コウテイ</t>
    </rPh>
    <rPh sb="11" eb="12">
      <t>ラン</t>
    </rPh>
    <rPh sb="13" eb="15">
      <t>ニュウリョク</t>
    </rPh>
    <rPh sb="18" eb="20">
      <t>テンカイ</t>
    </rPh>
    <rPh sb="25" eb="26">
      <t>オ</t>
    </rPh>
    <phoneticPr fontId="2"/>
  </si>
  <si>
    <t>4. 「モード」欄で不良項目を選んで「絞り込み」ボタンを押すとその項目に絞った表示になります。</t>
    <rPh sb="8" eb="9">
      <t>ラン</t>
    </rPh>
    <rPh sb="10" eb="14">
      <t>フリョウコウモク</t>
    </rPh>
    <rPh sb="15" eb="16">
      <t>エラ</t>
    </rPh>
    <rPh sb="19" eb="20">
      <t>シボ</t>
    </rPh>
    <rPh sb="21" eb="22">
      <t>コ</t>
    </rPh>
    <rPh sb="28" eb="29">
      <t>オ</t>
    </rPh>
    <rPh sb="33" eb="35">
      <t>コウモク</t>
    </rPh>
    <rPh sb="36" eb="37">
      <t>シボ</t>
    </rPh>
    <rPh sb="39" eb="41">
      <t>ヒョウジ</t>
    </rPh>
    <phoneticPr fontId="2"/>
  </si>
  <si>
    <t>加工キズ</t>
  </si>
  <si>
    <t>受渡キズ</t>
  </si>
  <si>
    <t>71</t>
  </si>
  <si>
    <t>69</t>
  </si>
  <si>
    <t>ウエルド</t>
  </si>
  <si>
    <t>処理に時間が掛かるが下記メリットがある</t>
    <rPh sb="0" eb="2">
      <t>ショリ</t>
    </rPh>
    <rPh sb="3" eb="5">
      <t>ジカン</t>
    </rPh>
    <rPh sb="6" eb="7">
      <t>カ</t>
    </rPh>
    <rPh sb="10" eb="12">
      <t>カキ</t>
    </rPh>
    <phoneticPr fontId="2"/>
  </si>
  <si>
    <t>・4つのグラフの縦軸の上限が揃う。</t>
    <rPh sb="8" eb="10">
      <t>タテジク</t>
    </rPh>
    <rPh sb="11" eb="13">
      <t>ジョウゲン</t>
    </rPh>
    <rPh sb="14" eb="15">
      <t>ソロ</t>
    </rPh>
    <phoneticPr fontId="2"/>
  </si>
  <si>
    <t>・不良モードを絞り込める。</t>
    <rPh sb="1" eb="3">
      <t>フリョウ</t>
    </rPh>
    <rPh sb="7" eb="8">
      <t>シボ</t>
    </rPh>
    <rPh sb="9" eb="10">
      <t>コ</t>
    </rPh>
    <phoneticPr fontId="2"/>
  </si>
  <si>
    <t>・絞り込みの処理は早い。</t>
    <rPh sb="1" eb="2">
      <t>シボ</t>
    </rPh>
    <rPh sb="3" eb="4">
      <t>コ</t>
    </rPh>
    <rPh sb="6" eb="8">
      <t>ショリ</t>
    </rPh>
    <rPh sb="9" eb="10">
      <t>ハヤ</t>
    </rPh>
    <phoneticPr fontId="2"/>
  </si>
  <si>
    <t>モードを選択したらボタンを押す</t>
    <rPh sb="4" eb="6">
      <t>センタク</t>
    </rPh>
    <rPh sb="13" eb="14">
      <t>オ</t>
    </rPh>
    <phoneticPr fontId="2"/>
  </si>
  <si>
    <t>2025/1～2025/10</t>
    <phoneticPr fontId="2"/>
  </si>
  <si>
    <t>集計</t>
  </si>
  <si>
    <t>差戻し</t>
  </si>
  <si>
    <t>56</t>
  </si>
  <si>
    <t>57</t>
  </si>
  <si>
    <t>SUSキズ</t>
  </si>
  <si>
    <t>投入キズ</t>
  </si>
  <si>
    <t>58</t>
  </si>
  <si>
    <t>59</t>
  </si>
  <si>
    <t>53</t>
  </si>
  <si>
    <t>54</t>
  </si>
  <si>
    <t>55</t>
  </si>
  <si>
    <t>79</t>
  </si>
  <si>
    <t>成形 流出不良集計 1/12 ～ 1/20</t>
    <phoneticPr fontId="2"/>
  </si>
  <si>
    <t>Fr RH</t>
    <phoneticPr fontId="2"/>
  </si>
  <si>
    <t>品番</t>
    <rPh sb="0" eb="2">
      <t>ヒンバン</t>
    </rPh>
    <phoneticPr fontId="2"/>
  </si>
  <si>
    <t>ゾーン</t>
    <phoneticPr fontId="2"/>
  </si>
  <si>
    <t>数量</t>
    <rPh sb="0" eb="2">
      <t>スウリョウ</t>
    </rPh>
    <phoneticPr fontId="2"/>
  </si>
  <si>
    <t>Rr RH</t>
    <phoneticPr fontId="2"/>
  </si>
  <si>
    <t>　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</si>
</sst>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/d;@"/>
  </numFmts>
  <fonts count="18" x14ac:knownFonts="1">
    <font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72"/>
      <color rgb="FFFF0000"/>
      <name val="Yu Gothic UI Semibold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theme="1"/>
      <name val="Yu Gothic UI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 tint="0.499984740745262"/>
      <name val="游ゴシック"/>
      <family val="3"/>
      <charset val="128"/>
      <scheme val="minor"/>
    </font>
    <font>
      <sz val="9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b/>
      <sz val="18"/>
      <color theme="1"/>
      <name val="游ゴシック"/>
      <family val="3"/>
      <charset val="128"/>
      <scheme val="minor"/>
    </font>
    <font>
      <b/>
      <sz val="18"/>
      <color theme="0" tint="-0.499984740745262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indent="1" shrinkToFit="1"/>
    </xf>
    <xf numFmtId="0" fontId="1" fillId="0" borderId="0" xfId="0" applyFont="1">
      <alignment vertical="center"/>
    </xf>
    <xf numFmtId="0" fontId="0" fillId="0" borderId="0" xfId="0" pivotButton="1" applyAlignment="1">
      <alignment vertical="center" shrinkToFit="1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 applyAlignment="1">
      <alignment vertical="center" shrinkToFit="1"/>
    </xf>
    <xf numFmtId="0" fontId="6" fillId="0" borderId="0" xfId="0" applyFont="1" applyAlignment="1">
      <alignment horizontal="center" vertical="center" shrinkToFit="1"/>
    </xf>
    <xf numFmtId="0" fontId="6" fillId="2" borderId="1" xfId="0" applyFont="1" applyFill="1" applyBorder="1" applyAlignment="1">
      <alignment horizontal="center" vertical="center" shrinkToFit="1"/>
    </xf>
    <xf numFmtId="0" fontId="6" fillId="3" borderId="2" xfId="0" applyFont="1" applyFill="1" applyBorder="1" applyAlignment="1" applyProtection="1">
      <alignment horizontal="center" vertical="center" shrinkToFit="1"/>
      <protection locked="0"/>
    </xf>
    <xf numFmtId="0" fontId="7" fillId="0" borderId="0" xfId="0" applyFont="1">
      <alignment vertical="center"/>
    </xf>
    <xf numFmtId="0" fontId="8" fillId="0" borderId="0" xfId="0" applyFont="1" applyAlignment="1">
      <alignment horizontal="left" vertical="center"/>
    </xf>
    <xf numFmtId="176" fontId="6" fillId="3" borderId="2" xfId="0" applyNumberFormat="1" applyFont="1" applyFill="1" applyBorder="1" applyAlignment="1" applyProtection="1">
      <alignment horizontal="center" vertical="center" shrinkToFit="1"/>
      <protection locked="0"/>
    </xf>
    <xf numFmtId="0" fontId="9" fillId="0" borderId="0" xfId="0" applyFont="1">
      <alignment vertical="center"/>
    </xf>
    <xf numFmtId="176" fontId="0" fillId="0" borderId="0" xfId="0" applyNumberFormat="1" applyAlignment="1">
      <alignment vertical="center" shrinkToFit="1"/>
    </xf>
    <xf numFmtId="0" fontId="9" fillId="0" borderId="0" xfId="0" applyFont="1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11" fillId="0" borderId="0" xfId="0" applyFont="1">
      <alignment vertical="center"/>
    </xf>
    <xf numFmtId="0" fontId="10" fillId="0" borderId="0" xfId="0" applyFont="1">
      <alignment vertical="center"/>
    </xf>
    <xf numFmtId="0" fontId="0" fillId="3" borderId="2" xfId="0" applyFill="1" applyBorder="1" applyProtection="1">
      <alignment vertical="center"/>
      <protection locked="0"/>
    </xf>
    <xf numFmtId="0" fontId="15" fillId="0" borderId="0" xfId="0" applyFont="1">
      <alignment vertical="center"/>
    </xf>
    <xf numFmtId="0" fontId="0" fillId="0" borderId="0" xfId="0" applyProtection="1">
      <alignment vertical="center"/>
      <protection locked="0"/>
    </xf>
    <xf numFmtId="0" fontId="16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 indent="2"/>
    </xf>
    <xf numFmtId="0" fontId="14" fillId="0" borderId="0" xfId="0" applyFont="1" applyAlignment="1">
      <alignment horizontal="left" vertical="center" indent="2"/>
    </xf>
    <xf numFmtId="0" fontId="0" fillId="0" borderId="3" xfId="0" applyBorder="1" applyAlignment="1">
      <alignment vertical="center" shrinkToFit="1"/>
    </xf>
    <xf numFmtId="0" fontId="0" fillId="0" borderId="3" xfId="0" applyBorder="1" applyAlignment="1">
      <alignment horizontal="left" vertical="center" indent="1" shrinkToFit="1"/>
    </xf>
    <xf numFmtId="0" fontId="11" fillId="0" borderId="3" xfId="0" applyFont="1" applyBorder="1" applyAlignment="1">
      <alignment horizontal="left" vertical="center" indent="1" shrinkToFit="1"/>
    </xf>
    <xf numFmtId="0" fontId="11" fillId="0" borderId="3" xfId="0" applyFont="1" applyBorder="1" applyAlignment="1">
      <alignment vertical="center" shrinkToFit="1"/>
    </xf>
    <xf numFmtId="0" fontId="17" fillId="0" borderId="3" xfId="0" applyFont="1" applyBorder="1" applyAlignment="1">
      <alignment horizontal="left" vertical="center" shrinkToFit="1"/>
    </xf>
    <xf numFmtId="0" fontId="17" fillId="0" borderId="3" xfId="0" applyFont="1" applyBorder="1" applyAlignment="1">
      <alignment vertical="center" shrinkToFit="1"/>
    </xf>
    <xf numFmtId="0" fontId="17" fillId="0" borderId="0" xfId="0" applyFon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11" fillId="0" borderId="0" xfId="0" applyFont="1" applyBorder="1" applyAlignment="1">
      <alignment vertical="center" shrinkToFit="1"/>
    </xf>
    <xf numFmtId="0" fontId="17" fillId="0" borderId="4" xfId="0" applyFont="1" applyBorder="1" applyAlignment="1">
      <alignment horizontal="center" vertical="center" shrinkToFit="1"/>
    </xf>
    <xf numFmtId="0" fontId="17" fillId="0" borderId="5" xfId="0" applyFont="1" applyBorder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vertical="center" shrinkToFit="1"/>
    </xf>
    <xf numFmtId="0" fontId="17" fillId="0" borderId="1" xfId="0" applyFont="1" applyBorder="1" applyAlignment="1">
      <alignment vertical="center" shrinkToFit="1"/>
    </xf>
    <xf numFmtId="0" fontId="17" fillId="0" borderId="6" xfId="0" applyFont="1" applyBorder="1" applyAlignment="1">
      <alignment vertical="center" shrinkToFit="1"/>
    </xf>
    <xf numFmtId="0" fontId="0" fillId="0" borderId="7" xfId="0" applyBorder="1" applyAlignment="1">
      <alignment vertical="center" shrinkToFit="1"/>
    </xf>
    <xf numFmtId="0" fontId="11" fillId="0" borderId="7" xfId="0" applyFont="1" applyBorder="1" applyAlignment="1">
      <alignment vertical="center" shrinkToFit="1"/>
    </xf>
    <xf numFmtId="0" fontId="17" fillId="0" borderId="8" xfId="0" applyFont="1" applyBorder="1" applyAlignment="1">
      <alignment horizontal="left" vertical="center" shrinkToFit="1"/>
    </xf>
    <xf numFmtId="0" fontId="17" fillId="0" borderId="9" xfId="0" applyFont="1" applyBorder="1" applyAlignment="1">
      <alignment vertical="center" shrinkToFit="1"/>
    </xf>
    <xf numFmtId="0" fontId="17" fillId="0" borderId="10" xfId="0" applyFont="1" applyBorder="1" applyAlignment="1">
      <alignment vertical="center" shrinkToFit="1"/>
    </xf>
    <xf numFmtId="0" fontId="0" fillId="0" borderId="4" xfId="0" applyBorder="1" applyAlignment="1">
      <alignment horizontal="left" vertical="center" indent="1" shrinkToFit="1"/>
    </xf>
    <xf numFmtId="0" fontId="0" fillId="0" borderId="11" xfId="0" applyBorder="1" applyAlignment="1">
      <alignment vertical="center" shrinkToFit="1"/>
    </xf>
  </cellXfs>
  <cellStyles count="1">
    <cellStyle name="標準" xfId="0" builtinId="0"/>
  </cellStyles>
  <dxfs count="150">
    <dxf>
      <alignment horizontal="general" vertical="center" textRotation="0" wrapText="0" indent="0" justifyLastLine="0" shrinkToFit="1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1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alignment horizontal="general" vertical="center" textRotation="0" wrapText="0" indent="0" justifyLastLine="0" shrinkToFit="1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1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1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alignment horizontal="general" vertical="center" textRotation="0" wrapText="0" indent="0" justifyLastLine="0" shrinkToFit="1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1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1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alignment horizontal="general" vertical="center" textRotation="0" wrapText="0" indent="0" justifyLastLine="0" shrinkToFit="1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1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1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alignment horizontal="general" vertical="center" textRotation="0" wrapText="0" indent="0" justifyLastLine="0" shrinkToFit="1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1" readingOrder="0"/>
    </dxf>
    <dxf>
      <numFmt numFmtId="0" formatCode="General"/>
      <alignment horizontal="general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alignment horizontal="general" vertical="center" textRotation="0" wrapText="0" indent="0" justifyLastLine="0" shrinkToFit="1" readingOrder="0"/>
    </dxf>
    <dxf>
      <numFmt numFmtId="0" formatCode="General"/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numFmt numFmtId="0" formatCode="General"/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numFmt numFmtId="0" formatCode="General"/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numFmt numFmtId="0" formatCode="General"/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numFmt numFmtId="0" formatCode="General"/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numFmt numFmtId="0" formatCode="General"/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numFmt numFmtId="0" formatCode="General"/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numFmt numFmtId="0" formatCode="General"/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numFmt numFmtId="0" formatCode="General"/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numFmt numFmtId="0" formatCode="General"/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numFmt numFmtId="0" formatCode="General"/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numFmt numFmtId="0" formatCode="General"/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numFmt numFmtId="0" formatCode="General"/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numFmt numFmtId="176" formatCode="m/d;@"/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numFmt numFmtId="0" formatCode="General"/>
      <alignment horizontal="general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vertical="center" textRotation="0" wrapText="0" justifyLastLine="0" shrinkToFit="1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1" readingOrder="0"/>
    </dxf>
    <dxf>
      <numFmt numFmtId="0" formatCode="General"/>
      <alignment horizontal="general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vertical="center" textRotation="0" wrapText="0" justifyLastLine="0" shrinkToFit="1" readingOrder="0"/>
    </dxf>
    <dxf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font>
        <color auto="1"/>
      </font>
    </dxf>
    <dxf>
      <font>
        <color auto="1"/>
      </font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1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ゾーンFrRr流出!$A$6</c:f>
          <c:strCache>
            <c:ptCount val="1"/>
            <c:pt idx="0">
              <c:v>成形 アルヴェルFr 流出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tx1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non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2"/>
        <c:spPr>
          <a:solidFill>
            <a:schemeClr val="tx1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non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3"/>
        <c:spPr>
          <a:solidFill>
            <a:schemeClr val="tx1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non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7.9336611222410355E-2"/>
          <c:y val="0.24858002333399565"/>
          <c:w val="0.88843543573286954"/>
          <c:h val="0.5024595255748844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ゾーンFrRr流出!$A$19:$B$28</c:f>
              <c:multiLvlStrCache>
                <c:ptCount val="10"/>
                <c:lvl>
                  <c:pt idx="0">
                    <c:v>A</c:v>
                  </c:pt>
                  <c:pt idx="1">
                    <c:v>B</c:v>
                  </c:pt>
                  <c:pt idx="2">
                    <c:v>C</c:v>
                  </c:pt>
                  <c:pt idx="3">
                    <c:v>D</c:v>
                  </c:pt>
                  <c:pt idx="4">
                    <c:v>E</c:v>
                  </c:pt>
                  <c:pt idx="5">
                    <c:v>A</c:v>
                  </c:pt>
                  <c:pt idx="6">
                    <c:v>B</c:v>
                  </c:pt>
                  <c:pt idx="7">
                    <c:v>C</c:v>
                  </c:pt>
                  <c:pt idx="8">
                    <c:v>D</c:v>
                  </c:pt>
                  <c:pt idx="9">
                    <c:v>E</c:v>
                  </c:pt>
                </c:lvl>
                <c:lvl>
                  <c:pt idx="0">
                    <c:v>Fr LH</c:v>
                  </c:pt>
                  <c:pt idx="5">
                    <c:v>Fr RH</c:v>
                  </c:pt>
                </c:lvl>
              </c:multiLvlStrCache>
            </c:multiLvlStrRef>
          </c:cat>
          <c:val>
            <c:numRef>
              <c:f>ゾーンFrRr流出!$C$8:$C$17</c:f>
              <c:numCache>
                <c:formatCode>General</c:formatCode>
                <c:ptCount val="10"/>
                <c:pt idx="1">
                  <c:v>2</c:v>
                </c:pt>
                <c:pt idx="3">
                  <c:v>1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89-46D3-8DB3-C194D90B6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15226047"/>
        <c:axId val="15219807"/>
      </c:barChart>
      <c:catAx>
        <c:axId val="15226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219807"/>
        <c:crosses val="autoZero"/>
        <c:auto val="1"/>
        <c:lblAlgn val="ctr"/>
        <c:lblOffset val="100"/>
        <c:noMultiLvlLbl val="0"/>
      </c:catAx>
      <c:valAx>
        <c:axId val="15219807"/>
        <c:scaling>
          <c:orientation val="minMax"/>
          <c:max val="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226047"/>
        <c:crosses val="autoZero"/>
        <c:crossBetween val="between"/>
        <c:majorUnit val="1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9050" cap="flat" cmpd="sng" algn="ctr">
      <a:solidFill>
        <a:schemeClr val="tx1">
          <a:lumMod val="75000"/>
          <a:lumOff val="2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userShapes r:id="rId3"/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ゾーンFrRr流出!$A$36</c:f>
          <c:strCache>
            <c:ptCount val="1"/>
            <c:pt idx="0">
              <c:v>成形 アルヴェルRr 流出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ivotFmts>
      <c:pivotFmt>
        <c:idx val="0"/>
        <c:spPr>
          <a:solidFill>
            <a:schemeClr val="tx1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non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tx1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non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"/>
        <c:spPr>
          <a:solidFill>
            <a:schemeClr val="tx1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non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8.382523307772935E-2"/>
          <c:y val="0.24869176509186353"/>
          <c:w val="0.87764108787995809"/>
          <c:h val="0.5006586286089239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ゾーンFrRr流出!$A$19:$B$28</c:f>
              <c:multiLvlStrCache>
                <c:ptCount val="10"/>
                <c:lvl>
                  <c:pt idx="0">
                    <c:v>A</c:v>
                  </c:pt>
                  <c:pt idx="1">
                    <c:v>B</c:v>
                  </c:pt>
                  <c:pt idx="2">
                    <c:v>C</c:v>
                  </c:pt>
                  <c:pt idx="3">
                    <c:v>D</c:v>
                  </c:pt>
                  <c:pt idx="4">
                    <c:v>E</c:v>
                  </c:pt>
                  <c:pt idx="5">
                    <c:v>A</c:v>
                  </c:pt>
                  <c:pt idx="6">
                    <c:v>B</c:v>
                  </c:pt>
                  <c:pt idx="7">
                    <c:v>C</c:v>
                  </c:pt>
                  <c:pt idx="8">
                    <c:v>D</c:v>
                  </c:pt>
                  <c:pt idx="9">
                    <c:v>E</c:v>
                  </c:pt>
                </c:lvl>
                <c:lvl>
                  <c:pt idx="0">
                    <c:v>Fr LH</c:v>
                  </c:pt>
                  <c:pt idx="5">
                    <c:v>Fr RH</c:v>
                  </c:pt>
                </c:lvl>
              </c:multiLvlStrCache>
            </c:multiLvlStrRef>
          </c:cat>
          <c:val>
            <c:numRef>
              <c:f>ゾーンFrRr流出!$C$38:$C$47</c:f>
              <c:numCache>
                <c:formatCode>General</c:formatCode>
                <c:ptCount val="10"/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676-4875-95B8-45E53B4C6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2115040448"/>
        <c:axId val="2115037088"/>
      </c:barChart>
      <c:catAx>
        <c:axId val="2115040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15037088"/>
        <c:crosses val="autoZero"/>
        <c:auto val="1"/>
        <c:lblAlgn val="ctr"/>
        <c:lblOffset val="100"/>
        <c:noMultiLvlLbl val="0"/>
      </c:catAx>
      <c:valAx>
        <c:axId val="2115037088"/>
        <c:scaling>
          <c:orientation val="minMax"/>
          <c:max val="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15040448"/>
        <c:crosses val="autoZero"/>
        <c:crossBetween val="between"/>
        <c:majorUnit val="1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9050" cap="flat" cmpd="sng" algn="ctr">
      <a:solidFill>
        <a:schemeClr val="tx1">
          <a:lumMod val="75000"/>
          <a:lumOff val="2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userShapes r:id="rId3"/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ゾーンFrRr流出!$AE$6</c:f>
          <c:strCache>
            <c:ptCount val="1"/>
            <c:pt idx="0">
              <c:v>成形 ノアヴォクFr 流出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ivotFmts>
      <c:pivotFmt>
        <c:idx val="0"/>
        <c:spPr>
          <a:solidFill>
            <a:schemeClr val="tx1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1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1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699423647323746E-2"/>
          <c:y val="0.24869176509186353"/>
          <c:w val="0.86180542007391514"/>
          <c:h val="0.5006586286089239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ゾーンFrRr流出!$AE$19:$AF$28</c:f>
              <c:multiLvlStrCache>
                <c:ptCount val="10"/>
                <c:lvl>
                  <c:pt idx="0">
                    <c:v>A</c:v>
                  </c:pt>
                  <c:pt idx="1">
                    <c:v>B</c:v>
                  </c:pt>
                  <c:pt idx="2">
                    <c:v>C</c:v>
                  </c:pt>
                  <c:pt idx="3">
                    <c:v>D</c:v>
                  </c:pt>
                  <c:pt idx="4">
                    <c:v>E</c:v>
                  </c:pt>
                  <c:pt idx="5">
                    <c:v>A</c:v>
                  </c:pt>
                  <c:pt idx="6">
                    <c:v>B</c:v>
                  </c:pt>
                  <c:pt idx="7">
                    <c:v>C</c:v>
                  </c:pt>
                  <c:pt idx="8">
                    <c:v>D</c:v>
                  </c:pt>
                  <c:pt idx="9">
                    <c:v>E</c:v>
                  </c:pt>
                </c:lvl>
                <c:lvl>
                  <c:pt idx="0">
                    <c:v>Fr LH</c:v>
                  </c:pt>
                  <c:pt idx="5">
                    <c:v>Fr RH</c:v>
                  </c:pt>
                </c:lvl>
              </c:multiLvlStrCache>
            </c:multiLvlStrRef>
          </c:cat>
          <c:val>
            <c:numRef>
              <c:f>ゾーンFrRr流出!$AG$8:$AG$17</c:f>
              <c:numCache>
                <c:formatCode>General</c:formatCode>
                <c:ptCount val="10"/>
                <c:pt idx="2">
                  <c:v>1</c:v>
                </c:pt>
                <c:pt idx="3">
                  <c:v>1</c:v>
                </c:pt>
                <c:pt idx="4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3F-49BC-BAF4-4FD06C4143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2115066368"/>
        <c:axId val="2115067328"/>
      </c:barChart>
      <c:catAx>
        <c:axId val="211506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15067328"/>
        <c:crosses val="autoZero"/>
        <c:auto val="1"/>
        <c:lblAlgn val="ctr"/>
        <c:lblOffset val="100"/>
        <c:noMultiLvlLbl val="0"/>
      </c:catAx>
      <c:valAx>
        <c:axId val="2115067328"/>
        <c:scaling>
          <c:orientation val="minMax"/>
          <c:max val="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15066368"/>
        <c:crosses val="autoZero"/>
        <c:crossBetween val="between"/>
        <c:majorUnit val="1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9050" cap="flat" cmpd="sng" algn="ctr">
      <a:solidFill>
        <a:schemeClr val="tx1">
          <a:lumMod val="75000"/>
          <a:lumOff val="2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userShapes r:id="rId3"/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ゾーンFrRr流出!$AE$36</c:f>
          <c:strCache>
            <c:ptCount val="1"/>
            <c:pt idx="0">
              <c:v>成形 ノアヴォクRr 流出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ivotFmts>
      <c:pivotFmt>
        <c:idx val="0"/>
        <c:spPr>
          <a:solidFill>
            <a:schemeClr val="tx1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1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1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3741431589946402E-2"/>
          <c:y val="0.24958661417322833"/>
          <c:w val="0.8777634121312925"/>
          <c:h val="0.4997635061242344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ゾーンFrRr流出!$AE$19:$AF$28</c:f>
              <c:multiLvlStrCache>
                <c:ptCount val="10"/>
                <c:lvl>
                  <c:pt idx="0">
                    <c:v>A</c:v>
                  </c:pt>
                  <c:pt idx="1">
                    <c:v>B</c:v>
                  </c:pt>
                  <c:pt idx="2">
                    <c:v>C</c:v>
                  </c:pt>
                  <c:pt idx="3">
                    <c:v>D</c:v>
                  </c:pt>
                  <c:pt idx="4">
                    <c:v>E</c:v>
                  </c:pt>
                  <c:pt idx="5">
                    <c:v>A</c:v>
                  </c:pt>
                  <c:pt idx="6">
                    <c:v>B</c:v>
                  </c:pt>
                  <c:pt idx="7">
                    <c:v>C</c:v>
                  </c:pt>
                  <c:pt idx="8">
                    <c:v>D</c:v>
                  </c:pt>
                  <c:pt idx="9">
                    <c:v>E</c:v>
                  </c:pt>
                </c:lvl>
                <c:lvl>
                  <c:pt idx="0">
                    <c:v>Fr LH</c:v>
                  </c:pt>
                  <c:pt idx="5">
                    <c:v>Fr RH</c:v>
                  </c:pt>
                </c:lvl>
              </c:multiLvlStrCache>
            </c:multiLvlStrRef>
          </c:cat>
          <c:val>
            <c:numRef>
              <c:f>ゾーンFrRr流出!$AG$38:$AG$47</c:f>
              <c:numCache>
                <c:formatCode>General</c:formatCode>
                <c:ptCount val="10"/>
                <c:pt idx="0">
                  <c:v>1</c:v>
                </c:pt>
                <c:pt idx="2">
                  <c:v>1</c:v>
                </c:pt>
                <c:pt idx="4">
                  <c:v>3</c:v>
                </c:pt>
                <c:pt idx="5">
                  <c:v>2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896-49C1-99CB-8ADEC06FF1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907464016"/>
        <c:axId val="907464496"/>
      </c:barChart>
      <c:catAx>
        <c:axId val="907464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07464496"/>
        <c:crosses val="autoZero"/>
        <c:auto val="1"/>
        <c:lblAlgn val="ctr"/>
        <c:lblOffset val="100"/>
        <c:noMultiLvlLbl val="0"/>
      </c:catAx>
      <c:valAx>
        <c:axId val="907464496"/>
        <c:scaling>
          <c:orientation val="minMax"/>
          <c:max val="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07464016"/>
        <c:crosses val="autoZero"/>
        <c:crossBetween val="between"/>
        <c:majorUnit val="1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9050" cap="flat" cmpd="sng" algn="ctr">
      <a:solidFill>
        <a:schemeClr val="tx1">
          <a:lumMod val="75000"/>
          <a:lumOff val="2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userShapes r:id="rId3"/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chart" Target="../charts/chart2.xml"/><Relationship Id="rId7" Type="http://schemas.openxmlformats.org/officeDocument/2006/relationships/image" Target="../media/image6.png"/><Relationship Id="rId12" Type="http://schemas.openxmlformats.org/officeDocument/2006/relationships/image" Target="../media/image11.png"/><Relationship Id="rId2" Type="http://schemas.openxmlformats.org/officeDocument/2006/relationships/chart" Target="../charts/chart1.xml"/><Relationship Id="rId1" Type="http://schemas.openxmlformats.org/officeDocument/2006/relationships/image" Target="../media/image4.png"/><Relationship Id="rId6" Type="http://schemas.openxmlformats.org/officeDocument/2006/relationships/image" Target="../media/image5.png"/><Relationship Id="rId11" Type="http://schemas.openxmlformats.org/officeDocument/2006/relationships/image" Target="../media/image10.png"/><Relationship Id="rId5" Type="http://schemas.openxmlformats.org/officeDocument/2006/relationships/chart" Target="../charts/chart4.xml"/><Relationship Id="rId10" Type="http://schemas.openxmlformats.org/officeDocument/2006/relationships/image" Target="../media/image9.png"/><Relationship Id="rId4" Type="http://schemas.openxmlformats.org/officeDocument/2006/relationships/chart" Target="../charts/chart3.xml"/><Relationship Id="rId9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49999</xdr:colOff>
      <xdr:row>61</xdr:row>
      <xdr:rowOff>15801</xdr:rowOff>
    </xdr:from>
    <xdr:ext cx="5780941" cy="464400"/>
    <xdr:pic>
      <xdr:nvPicPr>
        <xdr:cNvPr id="2" name="図 1">
          <a:extLst>
            <a:ext uri="{FF2B5EF4-FFF2-40B4-BE49-F238E27FC236}">
              <a16:creationId xmlns:a16="http://schemas.microsoft.com/office/drawing/2014/main" id="{1E3CB96B-03D6-4908-AA9B-0FD24A616C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46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9599" y="13998501"/>
          <a:ext cx="5780941" cy="464400"/>
        </a:xfrm>
        <a:prstGeom prst="rect">
          <a:avLst/>
        </a:prstGeom>
      </xdr:spPr>
    </xdr:pic>
    <xdr:clientData/>
  </xdr:oneCellAnchor>
  <xdr:oneCellAnchor>
    <xdr:from>
      <xdr:col>4</xdr:col>
      <xdr:colOff>1</xdr:colOff>
      <xdr:row>5</xdr:row>
      <xdr:rowOff>228598</xdr:rowOff>
    </xdr:from>
    <xdr:ext cx="5842000" cy="3659039"/>
    <xdr:graphicFrame macro="">
      <xdr:nvGraphicFramePr>
        <xdr:cNvPr id="3" name="グラフ1">
          <a:extLst>
            <a:ext uri="{FF2B5EF4-FFF2-40B4-BE49-F238E27FC236}">
              <a16:creationId xmlns:a16="http://schemas.microsoft.com/office/drawing/2014/main" id="{DF4D01F6-0108-481D-870D-A49B717AB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4</xdr:col>
      <xdr:colOff>-1</xdr:colOff>
      <xdr:row>36</xdr:row>
      <xdr:rowOff>0</xdr:rowOff>
    </xdr:from>
    <xdr:ext cx="5885543" cy="3657600"/>
    <xdr:graphicFrame macro="">
      <xdr:nvGraphicFramePr>
        <xdr:cNvPr id="4" name="グラフ2">
          <a:extLst>
            <a:ext uri="{FF2B5EF4-FFF2-40B4-BE49-F238E27FC236}">
              <a16:creationId xmlns:a16="http://schemas.microsoft.com/office/drawing/2014/main" id="{6A83044A-2484-41E1-AE73-CE4E0BB53E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17</xdr:col>
      <xdr:colOff>0</xdr:colOff>
      <xdr:row>6</xdr:row>
      <xdr:rowOff>0</xdr:rowOff>
    </xdr:from>
    <xdr:ext cx="5854700" cy="3657600"/>
    <xdr:graphicFrame macro="">
      <xdr:nvGraphicFramePr>
        <xdr:cNvPr id="5" name="グラフ3">
          <a:extLst>
            <a:ext uri="{FF2B5EF4-FFF2-40B4-BE49-F238E27FC236}">
              <a16:creationId xmlns:a16="http://schemas.microsoft.com/office/drawing/2014/main" id="{EAB0EC61-0CEA-4A32-A531-A308A4CAF3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17</xdr:col>
      <xdr:colOff>0</xdr:colOff>
      <xdr:row>36</xdr:row>
      <xdr:rowOff>0</xdr:rowOff>
    </xdr:from>
    <xdr:ext cx="5812766" cy="3657600"/>
    <xdr:graphicFrame macro="">
      <xdr:nvGraphicFramePr>
        <xdr:cNvPr id="6" name="グラフ4">
          <a:extLst>
            <a:ext uri="{FF2B5EF4-FFF2-40B4-BE49-F238E27FC236}">
              <a16:creationId xmlns:a16="http://schemas.microsoft.com/office/drawing/2014/main" id="{3EBCD085-CA93-4F30-B08C-7C7EABE0B7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oneCellAnchor>
    <xdr:from>
      <xdr:col>17</xdr:col>
      <xdr:colOff>413659</xdr:colOff>
      <xdr:row>23</xdr:row>
      <xdr:rowOff>65314</xdr:rowOff>
    </xdr:from>
    <xdr:ext cx="5440150" cy="1262744"/>
    <xdr:pic>
      <xdr:nvPicPr>
        <xdr:cNvPr id="7" name="図 6">
          <a:extLst>
            <a:ext uri="{FF2B5EF4-FFF2-40B4-BE49-F238E27FC236}">
              <a16:creationId xmlns:a16="http://schemas.microsoft.com/office/drawing/2014/main" id="{174D09E3-8019-42F4-9F27-F2FFD1831D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b="7978"/>
        <a:stretch>
          <a:fillRect/>
        </a:stretch>
      </xdr:blipFill>
      <xdr:spPr>
        <a:xfrm>
          <a:off x="8582299" y="5323114"/>
          <a:ext cx="5440150" cy="1262744"/>
        </a:xfrm>
        <a:prstGeom prst="rect">
          <a:avLst/>
        </a:prstGeom>
      </xdr:spPr>
    </xdr:pic>
    <xdr:clientData/>
  </xdr:oneCellAnchor>
  <xdr:oneCellAnchor>
    <xdr:from>
      <xdr:col>4</xdr:col>
      <xdr:colOff>18757</xdr:colOff>
      <xdr:row>61</xdr:row>
      <xdr:rowOff>18142</xdr:rowOff>
    </xdr:from>
    <xdr:ext cx="5825439" cy="399600"/>
    <xdr:pic>
      <xdr:nvPicPr>
        <xdr:cNvPr id="8" name="図 7">
          <a:extLst>
            <a:ext uri="{FF2B5EF4-FFF2-40B4-BE49-F238E27FC236}">
              <a16:creationId xmlns:a16="http://schemas.microsoft.com/office/drawing/2014/main" id="{04ED39F3-B6C8-4641-9A83-B50754F22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alphaModFix amt="56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57" y="14000842"/>
          <a:ext cx="5825439" cy="399600"/>
        </a:xfrm>
        <a:prstGeom prst="rect">
          <a:avLst/>
        </a:prstGeom>
      </xdr:spPr>
    </xdr:pic>
    <xdr:clientData/>
  </xdr:oneCellAnchor>
  <xdr:oneCellAnchor>
    <xdr:from>
      <xdr:col>4</xdr:col>
      <xdr:colOff>24201</xdr:colOff>
      <xdr:row>55</xdr:row>
      <xdr:rowOff>93756</xdr:rowOff>
    </xdr:from>
    <xdr:ext cx="5814551" cy="399600"/>
    <xdr:pic>
      <xdr:nvPicPr>
        <xdr:cNvPr id="9" name="図 8">
          <a:extLst>
            <a:ext uri="{FF2B5EF4-FFF2-40B4-BE49-F238E27FC236}">
              <a16:creationId xmlns:a16="http://schemas.microsoft.com/office/drawing/2014/main" id="{2E2A228D-E7A2-4613-8231-5B35426E13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alphaModFix amt="46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201" y="12704856"/>
          <a:ext cx="5814551" cy="399600"/>
        </a:xfrm>
        <a:prstGeom prst="rect">
          <a:avLst/>
        </a:prstGeom>
      </xdr:spPr>
    </xdr:pic>
    <xdr:clientData/>
  </xdr:oneCellAnchor>
  <xdr:oneCellAnchor>
    <xdr:from>
      <xdr:col>4</xdr:col>
      <xdr:colOff>38743</xdr:colOff>
      <xdr:row>29</xdr:row>
      <xdr:rowOff>147603</xdr:rowOff>
    </xdr:from>
    <xdr:ext cx="5321315" cy="1207553"/>
    <xdr:pic>
      <xdr:nvPicPr>
        <xdr:cNvPr id="10" name="図 9">
          <a:extLst>
            <a:ext uri="{FF2B5EF4-FFF2-40B4-BE49-F238E27FC236}">
              <a16:creationId xmlns:a16="http://schemas.microsoft.com/office/drawing/2014/main" id="{4DD927FA-E938-44B9-812D-AD27BC668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0363" y="6777003"/>
          <a:ext cx="5321315" cy="1207553"/>
        </a:xfrm>
        <a:prstGeom prst="rect">
          <a:avLst/>
        </a:prstGeom>
      </xdr:spPr>
    </xdr:pic>
    <xdr:clientData/>
  </xdr:oneCellAnchor>
  <xdr:oneCellAnchor>
    <xdr:from>
      <xdr:col>4</xdr:col>
      <xdr:colOff>522514</xdr:colOff>
      <xdr:row>23</xdr:row>
      <xdr:rowOff>156088</xdr:rowOff>
    </xdr:from>
    <xdr:ext cx="5328572" cy="1200573"/>
    <xdr:pic>
      <xdr:nvPicPr>
        <xdr:cNvPr id="11" name="図 10">
          <a:extLst>
            <a:ext uri="{FF2B5EF4-FFF2-40B4-BE49-F238E27FC236}">
              <a16:creationId xmlns:a16="http://schemas.microsoft.com/office/drawing/2014/main" id="{8846065D-E9CE-4C1A-BABC-072C759404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8894" y="5413888"/>
          <a:ext cx="5328572" cy="1200573"/>
        </a:xfrm>
        <a:prstGeom prst="rect">
          <a:avLst/>
        </a:prstGeom>
      </xdr:spPr>
    </xdr:pic>
    <xdr:clientData/>
  </xdr:oneCellAnchor>
  <xdr:oneCellAnchor>
    <xdr:from>
      <xdr:col>17</xdr:col>
      <xdr:colOff>70774</xdr:colOff>
      <xdr:row>55</xdr:row>
      <xdr:rowOff>27912</xdr:rowOff>
    </xdr:from>
    <xdr:ext cx="5739390" cy="468000"/>
    <xdr:pic>
      <xdr:nvPicPr>
        <xdr:cNvPr id="12" name="図 11">
          <a:extLst>
            <a:ext uri="{FF2B5EF4-FFF2-40B4-BE49-F238E27FC236}">
              <a16:creationId xmlns:a16="http://schemas.microsoft.com/office/drawing/2014/main" id="{983CB3D7-7B0C-4D03-83CD-3FCACCEF4F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alphaModFix amt="59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0374" y="12639012"/>
          <a:ext cx="5739390" cy="468000"/>
        </a:xfrm>
        <a:prstGeom prst="rect">
          <a:avLst/>
        </a:prstGeom>
      </xdr:spPr>
    </xdr:pic>
    <xdr:clientData/>
  </xdr:oneCellAnchor>
  <xdr:oneCellAnchor>
    <xdr:from>
      <xdr:col>17</xdr:col>
      <xdr:colOff>40031</xdr:colOff>
      <xdr:row>29</xdr:row>
      <xdr:rowOff>50255</xdr:rowOff>
    </xdr:from>
    <xdr:ext cx="5315740" cy="1296918"/>
    <xdr:pic>
      <xdr:nvPicPr>
        <xdr:cNvPr id="13" name="図 12">
          <a:extLst>
            <a:ext uri="{FF2B5EF4-FFF2-40B4-BE49-F238E27FC236}">
              <a16:creationId xmlns:a16="http://schemas.microsoft.com/office/drawing/2014/main" id="{D665C172-1E89-4E4B-BEE2-3A0BBDCB1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08671" y="6679655"/>
          <a:ext cx="5315740" cy="1296918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167640</xdr:rowOff>
        </xdr:from>
        <xdr:to>
          <xdr:col>9</xdr:col>
          <xdr:colOff>320040</xdr:colOff>
          <xdr:row>3</xdr:row>
          <xdr:rowOff>0</xdr:rowOff>
        </xdr:to>
        <xdr:sp macro="" textlink="">
          <xdr:nvSpPr>
            <xdr:cNvPr id="1025" name="CommandButton2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45720</xdr:rowOff>
        </xdr:from>
        <xdr:to>
          <xdr:col>9</xdr:col>
          <xdr:colOff>320040</xdr:colOff>
          <xdr:row>1</xdr:row>
          <xdr:rowOff>121920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167640</xdr:colOff>
          <xdr:row>1</xdr:row>
          <xdr:rowOff>167640</xdr:rowOff>
        </xdr:from>
        <xdr:to>
          <xdr:col>22</xdr:col>
          <xdr:colOff>487680</xdr:colOff>
          <xdr:row>3</xdr:row>
          <xdr:rowOff>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0.0087</cdr:x>
      <cdr:y>0.01388</cdr:y>
    </cdr:from>
    <cdr:to>
      <cdr:x>0.10177</cdr:x>
      <cdr:y>0.12123</cdr:y>
    </cdr:to>
    <cdr:sp macro="" textlink="ゾーンFrRr流出!$U$3">
      <cdr:nvSpPr>
        <cdr:cNvPr id="3" name="テキスト ボックス 13">
          <a:extLst xmlns:a="http://schemas.openxmlformats.org/drawingml/2006/main">
            <a:ext uri="{FF2B5EF4-FFF2-40B4-BE49-F238E27FC236}">
              <a16:creationId xmlns:a16="http://schemas.microsoft.com/office/drawing/2014/main" id="{3A41F2BA-CA15-6FD8-3DFE-DD5F52833C22}"/>
            </a:ext>
          </a:extLst>
        </cdr:cNvPr>
        <cdr:cNvSpPr txBox="1"/>
      </cdr:nvSpPr>
      <cdr:spPr>
        <a:xfrm xmlns:a="http://schemas.openxmlformats.org/drawingml/2006/main">
          <a:off x="50825" y="50787"/>
          <a:ext cx="543739" cy="3928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C1EDF5F8-1ED0-4D5B-9558-C5193FB4B398}" type="TxLink">
            <a:rPr kumimoji="1" lang="ja-JP" altLang="en-US" sz="1400" b="1" i="0" u="none" strike="noStrike">
              <a:solidFill>
                <a:srgbClr val="000000"/>
              </a:solidFill>
              <a:latin typeface="游ゴシック"/>
              <a:ea typeface="游ゴシック"/>
            </a:rPr>
            <a:pPr/>
            <a:t>キズ</a:t>
          </a:fld>
          <a:endParaRPr kumimoji="1" lang="ja-JP" altLang="en-US" sz="4400" b="1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0.00863</cdr:x>
      <cdr:y>0.01389</cdr:y>
    </cdr:from>
    <cdr:to>
      <cdr:x>0.10102</cdr:x>
      <cdr:y>0.12128</cdr:y>
    </cdr:to>
    <cdr:sp macro="" textlink="ゾーンFrRr流出!$U$3">
      <cdr:nvSpPr>
        <cdr:cNvPr id="2" name="テキスト ボックス 13">
          <a:extLst xmlns:a="http://schemas.openxmlformats.org/drawingml/2006/main">
            <a:ext uri="{FF2B5EF4-FFF2-40B4-BE49-F238E27FC236}">
              <a16:creationId xmlns:a16="http://schemas.microsoft.com/office/drawing/2014/main" id="{3A41F2BA-CA15-6FD8-3DFE-DD5F52833C22}"/>
            </a:ext>
          </a:extLst>
        </cdr:cNvPr>
        <cdr:cNvSpPr txBox="1"/>
      </cdr:nvSpPr>
      <cdr:spPr>
        <a:xfrm xmlns:a="http://schemas.openxmlformats.org/drawingml/2006/main">
          <a:off x="50792" y="50804"/>
          <a:ext cx="543739" cy="3928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4F3B20B3-20D8-4424-8AC0-E190FCEDD586}" type="TxLink">
            <a:rPr kumimoji="1" lang="ja-JP" altLang="en-US" sz="1400" b="1" i="0" u="none" strike="noStrike">
              <a:solidFill>
                <a:srgbClr val="000000"/>
              </a:solidFill>
              <a:latin typeface="游ゴシック"/>
              <a:ea typeface="游ゴシック"/>
            </a:rPr>
            <a:pPr/>
            <a:t>キズ</a:t>
          </a:fld>
          <a:endParaRPr kumimoji="1" lang="ja-JP" altLang="en-US" sz="4400" b="1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0.00874</cdr:x>
      <cdr:y>0.01389</cdr:y>
    </cdr:from>
    <cdr:to>
      <cdr:x>0.10161</cdr:x>
      <cdr:y>0.12128</cdr:y>
    </cdr:to>
    <cdr:sp macro="" textlink="ゾーンFrRr流出!$U$3">
      <cdr:nvSpPr>
        <cdr:cNvPr id="2" name="テキスト ボックス 13">
          <a:extLst xmlns:a="http://schemas.openxmlformats.org/drawingml/2006/main">
            <a:ext uri="{FF2B5EF4-FFF2-40B4-BE49-F238E27FC236}">
              <a16:creationId xmlns:a16="http://schemas.microsoft.com/office/drawing/2014/main" id="{3A41F2BA-CA15-6FD8-3DFE-DD5F52833C22}"/>
            </a:ext>
          </a:extLst>
        </cdr:cNvPr>
        <cdr:cNvSpPr txBox="1"/>
      </cdr:nvSpPr>
      <cdr:spPr>
        <a:xfrm xmlns:a="http://schemas.openxmlformats.org/drawingml/2006/main">
          <a:off x="51170" y="50804"/>
          <a:ext cx="543739" cy="3928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DD9AEA69-8F07-4CEB-9C33-F7FAC5559A1C}" type="TxLink">
            <a:rPr kumimoji="1" lang="ja-JP" altLang="en-US" sz="1400" b="1" i="0" u="none" strike="noStrike">
              <a:solidFill>
                <a:srgbClr val="000000"/>
              </a:solidFill>
              <a:latin typeface="游ゴシック"/>
              <a:ea typeface="游ゴシック"/>
            </a:rPr>
            <a:pPr/>
            <a:t>キズ</a:t>
          </a:fld>
          <a:endParaRPr kumimoji="1" lang="ja-JP" altLang="en-US" sz="4400" b="1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0.00874</cdr:x>
      <cdr:y>0.01389</cdr:y>
    </cdr:from>
    <cdr:to>
      <cdr:x>0.10228</cdr:x>
      <cdr:y>0.12128</cdr:y>
    </cdr:to>
    <cdr:sp macro="" textlink="ゾーンFrRr流出!$U$3">
      <cdr:nvSpPr>
        <cdr:cNvPr id="2" name="テキスト ボックス 13">
          <a:extLst xmlns:a="http://schemas.openxmlformats.org/drawingml/2006/main">
            <a:ext uri="{FF2B5EF4-FFF2-40B4-BE49-F238E27FC236}">
              <a16:creationId xmlns:a16="http://schemas.microsoft.com/office/drawing/2014/main" id="{3A41F2BA-CA15-6FD8-3DFE-DD5F52833C22}"/>
            </a:ext>
          </a:extLst>
        </cdr:cNvPr>
        <cdr:cNvSpPr txBox="1"/>
      </cdr:nvSpPr>
      <cdr:spPr>
        <a:xfrm xmlns:a="http://schemas.openxmlformats.org/drawingml/2006/main">
          <a:off x="50804" y="50804"/>
          <a:ext cx="543739" cy="3928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22B6E7C7-4971-400C-8AD8-41A38345DBFA}" type="TxLink">
            <a:rPr kumimoji="1" lang="ja-JP" altLang="en-US" sz="1400" b="1" i="0" u="none" strike="noStrike">
              <a:solidFill>
                <a:srgbClr val="000000"/>
              </a:solidFill>
              <a:latin typeface="游ゴシック"/>
              <a:ea typeface="游ゴシック"/>
            </a:rPr>
            <a:pPr/>
            <a:t>キズ</a:t>
          </a:fld>
          <a:endParaRPr kumimoji="1" lang="ja-JP" altLang="en-US" sz="4400" b="1"/>
        </a:p>
      </cdr:txBody>
    </cdr:sp>
  </cdr:relSizeAnchor>
</c:userShape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菊池剛" refreshedDate="46045.320462152777" createdVersion="8" refreshedVersion="8" minRefreshableVersion="3" recordCount="294" xr:uid="{96330E16-DB34-4150-910E-913B91ECD8CD}">
  <cacheSource type="worksheet">
    <worksheetSource name="_不良集計ゾーン別ADO"/>
  </cacheSource>
  <cacheFields count="16">
    <cacheField name="ID" numFmtId="0">
      <sharedItems containsSemiMixedTypes="0" containsString="0" containsNumber="1" containsInteger="1" minValue="1" maxValue="296"/>
    </cacheField>
    <cacheField name="日付" numFmtId="176">
      <sharedItems containsSemiMixedTypes="0" containsNonDate="0" containsDate="1" containsString="0" minDate="2025-01-16T00:00:00" maxDate="2026-01-23T00:00:00" count="246">
        <d v="2026-01-06T00:00:00"/>
        <d v="2026-01-07T00:00:00"/>
        <d v="2026-01-09T00:00:00"/>
        <d v="2026-01-08T00:00:00"/>
        <d v="2026-01-12T00:00:00"/>
        <d v="2026-01-13T00:00:00"/>
        <d v="2026-01-14T00:00:00"/>
        <d v="2026-01-15T00:00:00"/>
        <d v="2026-01-19T00:00:00"/>
        <d v="2026-01-21T00:00:00"/>
        <d v="2026-01-20T00:00:00"/>
        <d v="2026-01-16T00:00:00"/>
        <d v="2026-01-22T00:00:00"/>
        <d v="2025-11-03T00:00:00" u="1"/>
        <d v="2025-11-04T00:00:00" u="1"/>
        <d v="2025-11-05T00:00:00" u="1"/>
        <d v="2025-11-06T00:00:00" u="1"/>
        <d v="2025-11-07T00:00:00" u="1"/>
        <d v="2025-11-10T00:00:00" u="1"/>
        <d v="2025-11-11T00:00:00" u="1"/>
        <d v="2025-11-12T00:00:00" u="1"/>
        <d v="2025-11-13T00:00:00" u="1"/>
        <d v="2025-11-14T00:00:00" u="1"/>
        <d v="2025-11-17T00:00:00" u="1"/>
        <d v="2025-11-18T00:00:00" u="1"/>
        <d v="2025-11-19T00:00:00" u="1"/>
        <d v="2025-11-20T00:00:00" u="1"/>
        <d v="2025-11-21T00:00:00" u="1"/>
        <d v="2025-11-25T00:00:00" u="1"/>
        <d v="2025-11-26T00:00:00" u="1"/>
        <d v="2025-11-27T00:00:00" u="1"/>
        <d v="2025-11-28T00:00:00" u="1"/>
        <d v="2025-12-02T00:00:00" u="1"/>
        <d v="2025-12-01T00:00:00" u="1"/>
        <d v="2025-12-03T00:00:00" u="1"/>
        <d v="2025-12-04T00:00:00" u="1"/>
        <d v="2025-12-05T00:00:00" u="1"/>
        <d v="2025-12-08T00:00:00" u="1"/>
        <d v="2025-12-09T00:00:00" u="1"/>
        <d v="2025-12-10T00:00:00" u="1"/>
        <d v="2025-12-12T00:00:00" u="1"/>
        <d v="2025-12-11T00:00:00" u="1"/>
        <d v="2025-12-15T00:00:00" u="1"/>
        <d v="2025-12-16T00:00:00" u="1"/>
        <d v="2025-12-17T00:00:00" u="1"/>
        <d v="2025-12-18T00:00:00" u="1"/>
        <d v="2025-12-19T00:00:00" u="1"/>
        <d v="2025-12-22T00:00:00" u="1"/>
        <d v="2025-12-23T00:00:00" u="1"/>
        <d v="2025-12-24T00:00:00" u="1"/>
        <d v="2025-12-25T00:00:00" u="1"/>
        <d v="2025-12-26T00:00:00" u="1"/>
        <d v="2025-10-01T00:00:00" u="1"/>
        <d v="2025-10-02T00:00:00" u="1"/>
        <d v="2025-10-03T00:00:00" u="1"/>
        <d v="2025-10-06T00:00:00" u="1"/>
        <d v="2025-10-07T00:00:00" u="1"/>
        <d v="2025-10-08T00:00:00" u="1"/>
        <d v="2025-10-09T00:00:00" u="1"/>
        <d v="2025-10-10T00:00:00" u="1"/>
        <d v="2025-10-14T00:00:00" u="1"/>
        <d v="2025-10-15T00:00:00" u="1"/>
        <d v="2025-10-16T00:00:00" u="1"/>
        <d v="2025-10-17T00:00:00" u="1"/>
        <d v="2025-10-21T00:00:00" u="1"/>
        <d v="2025-10-22T00:00:00" u="1"/>
        <d v="2025-10-20T00:00:00" u="1"/>
        <d v="2025-10-23T00:00:00" u="1"/>
        <d v="2025-10-24T00:00:00" u="1"/>
        <d v="2025-10-27T00:00:00" u="1"/>
        <d v="2025-10-28T00:00:00" u="1"/>
        <d v="2025-10-29T00:00:00" u="1"/>
        <d v="2025-10-30T00:00:00" u="1"/>
        <d v="2025-10-31T00:00:00" u="1"/>
        <d v="2025-09-01T00:00:00" u="1"/>
        <d v="2025-09-02T00:00:00" u="1"/>
        <d v="2025-09-03T00:00:00" u="1"/>
        <d v="2025-09-04T00:00:00" u="1"/>
        <d v="2025-09-05T00:00:00" u="1"/>
        <d v="2025-09-08T00:00:00" u="1"/>
        <d v="2025-09-09T00:00:00" u="1"/>
        <d v="2025-09-10T00:00:00" u="1"/>
        <d v="2025-09-11T00:00:00" u="1"/>
        <d v="2025-09-12T00:00:00" u="1"/>
        <d v="2025-09-16T00:00:00" u="1"/>
        <d v="2025-09-17T00:00:00" u="1"/>
        <d v="2025-09-18T00:00:00" u="1"/>
        <d v="2025-09-19T00:00:00" u="1"/>
        <d v="2025-09-22T00:00:00" u="1"/>
        <d v="2025-09-23T00:00:00" u="1"/>
        <d v="2025-09-24T00:00:00" u="1"/>
        <d v="2025-09-25T00:00:00" u="1"/>
        <d v="2025-09-26T00:00:00" u="1"/>
        <d v="2025-09-29T00:00:00" u="1"/>
        <d v="2025-09-30T00:00:00" u="1"/>
        <d v="2025-07-01T00:00:00" u="1"/>
        <d v="2025-07-02T00:00:00" u="1"/>
        <d v="2025-07-03T00:00:00" u="1"/>
        <d v="2025-07-04T00:00:00" u="1"/>
        <d v="2025-07-07T00:00:00" u="1"/>
        <d v="2025-07-08T00:00:00" u="1"/>
        <d v="2025-07-09T00:00:00" u="1"/>
        <d v="2025-07-10T00:00:00" u="1"/>
        <d v="2025-07-11T00:00:00" u="1"/>
        <d v="2025-07-14T00:00:00" u="1"/>
        <d v="2025-07-15T00:00:00" u="1"/>
        <d v="2025-07-16T00:00:00" u="1"/>
        <d v="2025-07-17T00:00:00" u="1"/>
        <d v="2025-07-18T00:00:00" u="1"/>
        <d v="2025-07-21T00:00:00" u="1"/>
        <d v="2025-07-22T00:00:00" u="1"/>
        <d v="2025-07-23T00:00:00" u="1"/>
        <d v="2025-07-24T00:00:00" u="1"/>
        <d v="2025-07-25T00:00:00" u="1"/>
        <d v="2025-07-28T00:00:00" u="1"/>
        <d v="2025-07-29T00:00:00" u="1"/>
        <d v="2025-07-30T00:00:00" u="1"/>
        <d v="2025-07-31T00:00:00" u="1"/>
        <d v="2025-08-01T00:00:00" u="1"/>
        <d v="2025-08-04T00:00:00" u="1"/>
        <d v="2025-08-05T00:00:00" u="1"/>
        <d v="2025-08-06T00:00:00" u="1"/>
        <d v="2025-08-07T00:00:00" u="1"/>
        <d v="2025-08-08T00:00:00" u="1"/>
        <d v="2025-08-18T00:00:00" u="1"/>
        <d v="2025-08-19T00:00:00" u="1"/>
        <d v="2025-08-20T00:00:00" u="1"/>
        <d v="2025-08-21T00:00:00" u="1"/>
        <d v="2025-08-22T00:00:00" u="1"/>
        <d v="2025-08-25T00:00:00" u="1"/>
        <d v="2025-08-26T00:00:00" u="1"/>
        <d v="2025-08-27T00:00:00" u="1"/>
        <d v="2025-08-29T00:00:00" u="1"/>
        <d v="2025-08-28T00:00:00" u="1"/>
        <d v="2025-01-16T00:00:00" u="1"/>
        <d v="2025-01-17T00:00:00" u="1"/>
        <d v="2025-01-20T00:00:00" u="1"/>
        <d v="2025-01-21T00:00:00" u="1"/>
        <d v="2025-01-22T00:00:00" u="1"/>
        <d v="2025-01-23T00:00:00" u="1"/>
        <d v="2025-01-24T00:00:00" u="1"/>
        <d v="2025-01-27T00:00:00" u="1"/>
        <d v="2025-01-28T00:00:00" u="1"/>
        <d v="2025-01-29T00:00:00" u="1"/>
        <d v="2025-01-30T00:00:00" u="1"/>
        <d v="2025-01-31T00:00:00" u="1"/>
        <d v="2025-02-03T00:00:00" u="1"/>
        <d v="2025-02-04T00:00:00" u="1"/>
        <d v="2025-02-05T00:00:00" u="1"/>
        <d v="2025-02-06T00:00:00" u="1"/>
        <d v="2025-02-07T00:00:00" u="1"/>
        <d v="2025-02-10T00:00:00" u="1"/>
        <d v="2025-02-11T00:00:00" u="1"/>
        <d v="2025-02-12T00:00:00" u="1"/>
        <d v="2025-02-13T00:00:00" u="1"/>
        <d v="2025-02-14T00:00:00" u="1"/>
        <d v="2025-02-17T00:00:00" u="1"/>
        <d v="2025-02-18T00:00:00" u="1"/>
        <d v="2025-02-19T00:00:00" u="1"/>
        <d v="2025-02-20T00:00:00" u="1"/>
        <d v="2025-02-21T00:00:00" u="1"/>
        <d v="2025-02-24T00:00:00" u="1"/>
        <d v="2025-02-25T00:00:00" u="1"/>
        <d v="2025-02-26T00:00:00" u="1"/>
        <d v="2025-02-27T00:00:00" u="1"/>
        <d v="2025-02-28T00:00:00" u="1"/>
        <d v="2025-03-03T00:00:00" u="1"/>
        <d v="2025-03-04T00:00:00" u="1"/>
        <d v="2025-03-05T00:00:00" u="1"/>
        <d v="2025-03-06T00:00:00" u="1"/>
        <d v="2025-03-07T00:00:00" u="1"/>
        <d v="2025-03-10T00:00:00" u="1"/>
        <d v="2025-03-11T00:00:00" u="1"/>
        <d v="2025-03-12T00:00:00" u="1"/>
        <d v="2025-03-13T00:00:00" u="1"/>
        <d v="2025-03-14T00:00:00" u="1"/>
        <d v="2025-03-17T00:00:00" u="1"/>
        <d v="2025-03-18T00:00:00" u="1"/>
        <d v="2025-03-19T00:00:00" u="1"/>
        <d v="2025-03-20T00:00:00" u="1"/>
        <d v="2025-03-21T00:00:00" u="1"/>
        <d v="2025-03-24T00:00:00" u="1"/>
        <d v="2025-03-25T00:00:00" u="1"/>
        <d v="2025-03-26T00:00:00" u="1"/>
        <d v="2025-03-27T00:00:00" u="1"/>
        <d v="2025-03-28T00:00:00" u="1"/>
        <d v="2025-03-31T00:00:00" u="1"/>
        <d v="2025-04-01T00:00:00" u="1"/>
        <d v="2025-04-02T00:00:00" u="1"/>
        <d v="2025-04-03T00:00:00" u="1"/>
        <d v="2025-04-04T00:00:00" u="1"/>
        <d v="2025-04-07T00:00:00" u="1"/>
        <d v="2025-04-08T00:00:00" u="1"/>
        <d v="2025-04-09T00:00:00" u="1"/>
        <d v="2025-04-10T00:00:00" u="1"/>
        <d v="2025-04-11T00:00:00" u="1"/>
        <d v="2025-04-14T00:00:00" u="1"/>
        <d v="2025-04-15T00:00:00" u="1"/>
        <d v="2025-04-16T00:00:00" u="1"/>
        <d v="2025-04-17T00:00:00" u="1"/>
        <d v="2025-04-18T00:00:00" u="1"/>
        <d v="2025-04-21T00:00:00" u="1"/>
        <d v="2025-04-22T00:00:00" u="1"/>
        <d v="2025-04-23T00:00:00" u="1"/>
        <d v="2025-04-24T00:00:00" u="1"/>
        <d v="2025-04-25T00:00:00" u="1"/>
        <d v="2025-05-06T00:00:00" u="1"/>
        <d v="2025-05-07T00:00:00" u="1"/>
        <d v="2025-05-08T00:00:00" u="1"/>
        <d v="2025-05-09T00:00:00" u="1"/>
        <d v="2025-05-12T00:00:00" u="1"/>
        <d v="2025-05-13T00:00:00" u="1"/>
        <d v="2025-05-14T00:00:00" u="1"/>
        <d v="2025-05-15T00:00:00" u="1"/>
        <d v="2025-05-16T00:00:00" u="1"/>
        <d v="2025-05-19T00:00:00" u="1"/>
        <d v="2025-05-20T00:00:00" u="1"/>
        <d v="2025-05-21T00:00:00" u="1"/>
        <d v="2025-05-22T00:00:00" u="1"/>
        <d v="2025-05-23T00:00:00" u="1"/>
        <d v="2025-05-26T00:00:00" u="1"/>
        <d v="2025-05-27T00:00:00" u="1"/>
        <d v="2025-05-28T00:00:00" u="1"/>
        <d v="2025-05-29T00:00:00" u="1"/>
        <d v="2025-05-30T00:00:00" u="1"/>
        <d v="2025-06-02T00:00:00" u="1"/>
        <d v="2025-06-03T00:00:00" u="1"/>
        <d v="2025-06-04T00:00:00" u="1"/>
        <d v="2025-06-05T00:00:00" u="1"/>
        <d v="2025-06-06T00:00:00" u="1"/>
        <d v="2025-06-09T00:00:00" u="1"/>
        <d v="2025-06-10T00:00:00" u="1"/>
        <d v="2025-06-11T00:00:00" u="1"/>
        <d v="2025-06-12T00:00:00" u="1"/>
        <d v="2025-06-13T00:00:00" u="1"/>
        <d v="2025-06-16T00:00:00" u="1"/>
        <d v="2025-06-17T00:00:00" u="1"/>
        <d v="2025-06-18T00:00:00" u="1"/>
        <d v="2025-06-19T00:00:00" u="1"/>
        <d v="2025-06-20T00:00:00" u="1"/>
        <d v="2025-06-23T00:00:00" u="1"/>
        <d v="2025-06-24T00:00:00" u="1"/>
        <d v="2025-06-25T00:00:00" u="1"/>
        <d v="2025-06-26T00:00:00" u="1"/>
        <d v="2025-06-27T00:00:00" u="1"/>
        <d v="2025-06-30T00:00:00" u="1"/>
      </sharedItems>
    </cacheField>
    <cacheField name="品番" numFmtId="0">
      <sharedItems/>
    </cacheField>
    <cacheField name="ロット" numFmtId="0">
      <sharedItems/>
    </cacheField>
    <cacheField name="発見" numFmtId="0">
      <sharedItems/>
    </cacheField>
    <cacheField name="ゾーン" numFmtId="0">
      <sharedItems count="5">
        <s v="C"/>
        <s v="B"/>
        <s v="A"/>
        <s v="D"/>
        <s v="E"/>
      </sharedItems>
    </cacheField>
    <cacheField name="番号" numFmtId="0">
      <sharedItems/>
    </cacheField>
    <cacheField name="数量" numFmtId="0">
      <sharedItems containsSemiMixedTypes="0" containsString="0" containsNumber="1" containsInteger="1" minValue="1" maxValue="34"/>
    </cacheField>
    <cacheField name="差戻し" numFmtId="0">
      <sharedItems containsString="0" containsBlank="1" containsNumber="1" containsInteger="1" minValue="0" maxValue="1"/>
    </cacheField>
    <cacheField name="モード" numFmtId="0">
      <sharedItems/>
    </cacheField>
    <cacheField name="モード2" numFmtId="0">
      <sharedItems containsMixedTypes="1" containsNumber="1" containsInteger="1" minValue="0" maxValue="0" count="30">
        <s v="シルバー"/>
        <s v="打出し不良"/>
        <s v="ウエルド"/>
        <s v="キズ"/>
        <s v="糸引き"/>
        <s v="ゴミ押し"/>
        <s v="ライン不良"/>
        <s v="塗装異物"/>
        <s v="ピンホール"/>
        <s v="SUSキズ"/>
        <s v="加工キズ"/>
        <s v="ガス"/>
        <s v="塗装ひげ"/>
        <s v="塗料付着"/>
        <s v="プライマー"/>
        <s v="油"/>
        <s v="取出し不良"/>
        <s v="汚れ"/>
        <s v="投入キズ"/>
        <s v="異物"/>
        <s v="塗装面汚い"/>
        <s v="マット"/>
        <s v="たれ"/>
        <s v="バリ･毛バリ"/>
        <s v="塗装はげ"/>
        <s v="粘着"/>
        <s v="ヒケ"/>
        <s v="ムラ"/>
        <s v="カス"/>
        <n v="0" u="1"/>
      </sharedItems>
    </cacheField>
    <cacheField name="発見2" numFmtId="0">
      <sharedItems count="5">
        <s v="成形"/>
        <s v="塗装"/>
        <s v="加工"/>
        <s v="モール"/>
        <s v="" u="1"/>
      </sharedItems>
    </cacheField>
    <cacheField name="発生" numFmtId="0">
      <sharedItems count="4">
        <s v="成形"/>
        <s v="塗装"/>
        <s v="モール"/>
        <s v="加工"/>
      </sharedItems>
    </cacheField>
    <cacheField name="Fr/Rr" numFmtId="0">
      <sharedItems count="2">
        <s v="Fr"/>
        <s v="Rr"/>
      </sharedItems>
    </cacheField>
    <cacheField name="RH/LH" numFmtId="0">
      <sharedItems count="2">
        <s v="RH"/>
        <s v="LH"/>
      </sharedItems>
    </cacheField>
    <cacheField name="アル/ノア" numFmtId="0">
      <sharedItems containsMixedTypes="1" containsNumber="1" containsInteger="1" minValue="0" maxValue="0" count="3">
        <s v="アルヴェル"/>
        <s v="ノアヴォク"/>
        <n v="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E4A16B-EFCF-4F17-86E7-26FAB4CE2451}" name="ピボットテーブル35" cacheId="0" applyNumberFormats="0" applyBorderFormats="0" applyFontFormats="0" applyPatternFormats="0" applyAlignmentFormats="0" applyWidthHeightFormats="1" dataCaption="値" updatedVersion="8" minRefreshableVersion="3" showDrill="0" enableDrill="0" useAutoFormatting="1" rowGrandTotals="0" itemPrintTitles="1" createdVersion="8" indent="0" outline="1" outlineData="1" multipleFieldFilters="0" chartFormat="22">
  <location ref="AI11:AJ30" firstHeaderRow="1" firstDataRow="1" firstDataCol="1" rowPageCount="3" colPageCount="1"/>
  <pivotFields count="16">
    <pivotField showAll="0"/>
    <pivotField axis="axisPage" numFmtId="14" multipleItemSelectionAllowed="1" showAll="0">
      <items count="247"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224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244"/>
        <item h="1" m="1" x="245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13"/>
        <item h="1" m="1" x="14"/>
        <item h="1" m="1" x="15"/>
        <item h="1" m="1" x="16"/>
        <item h="1" m="1" x="17"/>
        <item h="1" m="1" x="18"/>
        <item h="1" m="1" x="19"/>
        <item h="1" m="1" x="20"/>
        <item h="1" m="1" x="21"/>
        <item h="1" m="1" x="22"/>
        <item h="1" m="1" x="23"/>
        <item h="1" m="1" x="24"/>
        <item h="1" m="1" x="25"/>
        <item h="1" m="1" x="26"/>
        <item h="1" m="1" x="27"/>
        <item h="1" m="1" x="28"/>
        <item h="1" m="1" x="29"/>
        <item h="1" m="1" x="30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x="0"/>
        <item h="1" x="1"/>
        <item h="1" x="2"/>
        <item h="1" x="3"/>
        <item x="4"/>
        <item x="5"/>
        <item x="6"/>
        <item x="7"/>
        <item x="8"/>
        <item h="1" x="9"/>
        <item x="10"/>
        <item x="11"/>
        <item h="1" x="12"/>
        <item t="default"/>
      </items>
    </pivotField>
    <pivotField showAll="0"/>
    <pivotField showAll="0"/>
    <pivotField showAll="0"/>
    <pivotField axis="axisRow" showAll="0" sortType="ascending">
      <items count="6">
        <item x="2"/>
        <item x="1"/>
        <item x="0"/>
        <item x="3"/>
        <item x="4"/>
        <item t="default"/>
      </items>
    </pivotField>
    <pivotField showAll="0"/>
    <pivotField dataField="1" showAll="0"/>
    <pivotField showAll="0"/>
    <pivotField multipleItemSelectionAllowed="1" showAll="0"/>
    <pivotField axis="axisRow" showAll="0">
      <items count="31">
        <item x="28"/>
        <item x="11"/>
        <item x="3"/>
        <item x="5"/>
        <item x="0"/>
        <item x="22"/>
        <item x="23"/>
        <item x="8"/>
        <item x="14"/>
        <item x="21"/>
        <item x="27"/>
        <item x="6"/>
        <item x="19"/>
        <item x="17"/>
        <item x="4"/>
        <item x="16"/>
        <item x="1"/>
        <item x="24"/>
        <item x="12"/>
        <item x="7"/>
        <item x="13"/>
        <item x="25"/>
        <item x="15"/>
        <item x="10"/>
        <item x="2"/>
        <item x="9"/>
        <item x="18"/>
        <item m="1" x="29"/>
        <item x="20"/>
        <item x="26"/>
        <item t="default"/>
      </items>
    </pivotField>
    <pivotField axis="axisPage" multipleItemSelectionAllowed="1" showAll="0">
      <items count="6">
        <item h="1" x="0"/>
        <item x="1"/>
        <item x="3"/>
        <item x="2"/>
        <item h="1" m="1" x="4"/>
        <item t="default"/>
      </items>
    </pivotField>
    <pivotField axis="axisPage" showAll="0">
      <items count="5">
        <item x="2"/>
        <item x="3"/>
        <item x="0"/>
        <item x="1"/>
        <item t="default"/>
      </items>
    </pivotField>
    <pivotField showAll="0"/>
    <pivotField defaultSubtotal="0"/>
    <pivotField showAll="0"/>
  </pivotFields>
  <rowFields count="2">
    <field x="5"/>
    <field x="10"/>
  </rowFields>
  <rowItems count="19">
    <i>
      <x/>
    </i>
    <i r="1">
      <x v="2"/>
    </i>
    <i r="1">
      <x v="24"/>
    </i>
    <i>
      <x v="1"/>
    </i>
    <i r="1">
      <x v="2"/>
    </i>
    <i r="1">
      <x v="14"/>
    </i>
    <i>
      <x v="2"/>
    </i>
    <i r="1">
      <x v="2"/>
    </i>
    <i r="1">
      <x v="4"/>
    </i>
    <i r="1">
      <x v="6"/>
    </i>
    <i r="1">
      <x v="14"/>
    </i>
    <i r="1">
      <x v="24"/>
    </i>
    <i>
      <x v="3"/>
    </i>
    <i r="1">
      <x v="2"/>
    </i>
    <i r="1">
      <x v="4"/>
    </i>
    <i r="1">
      <x v="24"/>
    </i>
    <i>
      <x v="4"/>
    </i>
    <i r="1">
      <x v="1"/>
    </i>
    <i r="1">
      <x v="2"/>
    </i>
  </rowItems>
  <colItems count="1">
    <i/>
  </colItems>
  <pageFields count="3">
    <pageField fld="1" hier="-1"/>
    <pageField fld="12" item="2" hier="-1"/>
    <pageField fld="11" hier="-1"/>
  </pageFields>
  <dataFields count="1">
    <dataField name="合計 / 数量" fld="7" baseField="0" baseItem="0"/>
  </dataFields>
  <formats count="6">
    <format dxfId="149">
      <pivotArea type="all" dataOnly="0" outline="0" fieldPosition="0"/>
    </format>
    <format dxfId="148">
      <pivotArea outline="0" collapsedLevelsAreSubtotals="1" fieldPosition="0"/>
    </format>
    <format dxfId="147">
      <pivotArea field="5" type="button" dataOnly="0" labelOnly="1" outline="0" axis="axisRow" fieldPosition="0"/>
    </format>
    <format dxfId="146">
      <pivotArea dataOnly="0" labelOnly="1" fieldPosition="0">
        <references count="1">
          <reference field="5" count="0"/>
        </references>
      </pivotArea>
    </format>
    <format dxfId="145">
      <pivotArea dataOnly="0" labelOnly="1" grandRow="1" outline="0" fieldPosition="0"/>
    </format>
    <format dxfId="144">
      <pivotArea dataOnly="0" labelOnly="1" outline="0" axis="axisValues" fieldPosition="0"/>
    </format>
  </format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3" xr16:uid="{8E23D63A-AF81-4BB9-9D84-12F79853B92D}" autoFormatId="20" applyNumberFormats="0" applyBorderFormats="0" applyFontFormats="0" applyPatternFormats="0" applyAlignmentFormats="0" applyWidthHeightFormats="0">
  <queryTableRefresh nextId="5">
    <queryTableFields count="4">
      <queryTableField id="1" name="ID" tableColumnId="1"/>
      <queryTableField id="2" name="番号" tableColumnId="2"/>
      <queryTableField id="3" name="モード" tableColumnId="3"/>
      <queryTableField id="4" name="発生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4" xr16:uid="{292A7631-8359-4ED0-93B6-5091D88D8D91}" autoFormatId="20" applyNumberFormats="0" applyBorderFormats="0" applyFontFormats="0" applyPatternFormats="0" applyAlignmentFormats="0" applyWidthHeightFormats="0">
  <queryTableRefresh nextId="27" unboundColumnsRight="7">
    <queryTableFields count="16">
      <queryTableField id="24" name="ID" tableColumnId="21"/>
      <queryTableField id="1" name="日付" tableColumnId="1"/>
      <queryTableField id="2" name="品番" tableColumnId="2"/>
      <queryTableField id="5" name="ロット" tableColumnId="5"/>
      <queryTableField id="6" name="発見" tableColumnId="6"/>
      <queryTableField id="7" name="ゾーン" tableColumnId="7"/>
      <queryTableField id="8" name="番号" tableColumnId="8"/>
      <queryTableField id="9" name="数量" tableColumnId="9"/>
      <queryTableField id="25" name="差戻し" tableColumnId="22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8" dataBound="0" tableColumnId="18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50441A9-B296-4441-B611-CABD565DD658}" name="_アルヴェルFr" displayName="_アルヴェルFr" ref="A7:C17" totalsRowShown="0" headerRowBorderDxfId="22" tableBorderDxfId="23" totalsRowBorderDxfId="21">
  <autoFilter ref="A7:C17" xr:uid="{650441A9-B296-4441-B611-CABD565DD658}"/>
  <tableColumns count="3">
    <tableColumn id="1" xr3:uid="{E6C459A2-A203-4EAF-8523-60DB46FB8657}" name="品番" dataDxfId="20"/>
    <tableColumn id="2" xr3:uid="{838E0E21-63C8-4F13-90E3-0104D81EB408}" name="ゾーン" dataDxfId="19"/>
    <tableColumn id="3" xr3:uid="{BF6835CB-4676-45DD-8C68-9604EF3EE5B6}" name="数量" dataDxfId="18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AD3F46B-B942-4AA1-A62B-4638B9A99A61}" name="_アルヴェルRr" displayName="_アルヴェルRr" ref="A37:C47" totalsRowShown="0" headerRowBorderDxfId="16" tableBorderDxfId="17" totalsRowBorderDxfId="15">
  <autoFilter ref="A37:C47" xr:uid="{1AD3F46B-B942-4AA1-A62B-4638B9A99A61}"/>
  <tableColumns count="3">
    <tableColumn id="1" xr3:uid="{05F67BEB-55F3-4125-ADDE-EFB4DE8589FA}" name="品番" dataDxfId="14"/>
    <tableColumn id="2" xr3:uid="{56F3B0A5-BAF5-45B8-9759-42838F31271C}" name="ゾーン" dataDxfId="13"/>
    <tableColumn id="3" xr3:uid="{5F8CE7BD-7C50-40EE-BC25-07947B63E1DC}" name="数量" dataDxfId="12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CC4372-A978-4F48-A0E3-EFC1574DB8E3}" name="_ノアヴォクFr" displayName="_ノアヴォクFr" ref="AE7:AG17" totalsRowShown="0" headerRowBorderDxfId="10" tableBorderDxfId="11" totalsRowBorderDxfId="9">
  <autoFilter ref="AE7:AG17" xr:uid="{91CC4372-A978-4F48-A0E3-EFC1574DB8E3}"/>
  <tableColumns count="3">
    <tableColumn id="1" xr3:uid="{5BA4B3D5-2969-457A-8A46-7921574E21B4}" name="品番" dataDxfId="8"/>
    <tableColumn id="2" xr3:uid="{D3CB8FB9-65C6-40E5-8E23-71CABDDE8888}" name="ゾーン" dataDxfId="7"/>
    <tableColumn id="3" xr3:uid="{CF93C740-4D6D-4DEC-96BB-A5D68FB0C0D3}" name="数量" dataDxfId="6"/>
  </tableColumns>
  <tableStyleInfo name="TableStyleLight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D0F07E9-741F-4BAB-B426-4155F556EAD6}" name="_ノアヴォクRr" displayName="_ノアヴォクRr" ref="AE37:AG47" totalsRowShown="0" headerRowBorderDxfId="4" tableBorderDxfId="5" totalsRowBorderDxfId="3">
  <autoFilter ref="AE37:AG47" xr:uid="{6D0F07E9-741F-4BAB-B426-4155F556EAD6}"/>
  <tableColumns count="3">
    <tableColumn id="1" xr3:uid="{5E0C0600-BB5D-46AB-8943-FEE587106837}" name="品番" dataDxfId="2"/>
    <tableColumn id="2" xr3:uid="{48ABFC0A-64AB-4123-B795-2ACF5C10574F}" name="ゾーン" dataDxfId="1"/>
    <tableColumn id="3" xr3:uid="{E5351C5C-F1CA-47C1-A71C-445B61DE5C5B}" name="数量" dataDxfId="0"/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9027A16-2939-4633-BA48-1A54D89EA32D}" name="_番号ADO" displayName="_番号ADO" ref="A3:D78" tableType="queryTable" totalsRowCount="1" headerRowDxfId="117" dataDxfId="116">
  <autoFilter ref="A3:D77" xr:uid="{49027A16-2939-4633-BA48-1A54D89EA32D}"/>
  <tableColumns count="4">
    <tableColumn id="1" xr3:uid="{6AF6ABAF-86D2-48CB-A416-6E8D10A2A6F8}" uniqueName="1" name="ID" queryTableFieldId="1" dataDxfId="115" totalsRowDxfId="27"/>
    <tableColumn id="2" xr3:uid="{26F1C07A-D07C-4B38-867C-2BC7D9F4F6E4}" uniqueName="2" name="番号" queryTableFieldId="2" dataDxfId="114" totalsRowDxfId="26"/>
    <tableColumn id="3" xr3:uid="{8FC0DCF9-25AB-4FE9-A9CB-3585E216FA44}" uniqueName="3" name="モード" totalsRowFunction="custom" queryTableFieldId="3" dataDxfId="113" totalsRowDxfId="25">
      <totalsRowFormula>COUNTA(_番号ADO[モード])</totalsRowFormula>
    </tableColumn>
    <tableColumn id="4" xr3:uid="{C4C2203F-FB13-4D7A-B5A6-8316A666E450}" uniqueName="4" name="発生" queryTableFieldId="4" dataDxfId="112" totalsRowDxfId="24"/>
  </tableColumns>
  <tableStyleInfo name="TableStyleLight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CF18668-0713-45EF-AA83-847F519C0A5A}" name="_番号ADOold" displayName="_番号ADOold" ref="G3:J77" totalsRowShown="0" headerRowDxfId="111" dataDxfId="110">
  <autoFilter ref="G3:J77" xr:uid="{4CF18668-0713-45EF-AA83-847F519C0A5A}"/>
  <tableColumns count="4">
    <tableColumn id="1" xr3:uid="{EF0A2F34-AD31-48CA-9D69-23555088C8B0}" name="ID" dataDxfId="109"/>
    <tableColumn id="2" xr3:uid="{10109D76-DDB1-4151-9A4C-0C55B9139F4D}" name="番号" dataDxfId="108"/>
    <tableColumn id="3" xr3:uid="{8003A250-DD16-4B79-8C41-D51E23A438E3}" name="モード" dataDxfId="107"/>
    <tableColumn id="4" xr3:uid="{E256FC18-BCBC-4105-AB08-1E215C5CA47A}" name="発生" dataDxfId="106"/>
  </tableColumns>
  <tableStyleInfo name="TableStyleLight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C0E634-1D8E-46CF-912A-0A52860B8F85}" name="_不良集計ゾーン別ADO" displayName="_不良集計ゾーン別ADO" ref="A4:P299" tableType="queryTable" totalsRowCount="1" headerRowDxfId="105" dataDxfId="104">
  <tableColumns count="16">
    <tableColumn id="21" xr3:uid="{5DD22DDD-BF5C-46C6-890E-1411C3102DBB}" uniqueName="21" name="ID" queryTableFieldId="24"/>
    <tableColumn id="1" xr3:uid="{ABCC9CCF-7507-441C-B8AB-634F8B6DE17E}" uniqueName="1" name="日付" totalsRowLabel="集計" queryTableFieldId="1" dataDxfId="103" totalsRowDxfId="102"/>
    <tableColumn id="2" xr3:uid="{C72B64CE-9D6E-420E-BC91-4BF85375E502}" uniqueName="2" name="品番" queryTableFieldId="2" dataDxfId="101" totalsRowDxfId="100"/>
    <tableColumn id="5" xr3:uid="{053EB342-6761-4246-9A94-F827110EFB1F}" uniqueName="5" name="ロット" queryTableFieldId="5" dataDxfId="99" totalsRowDxfId="98"/>
    <tableColumn id="6" xr3:uid="{ECA1D673-12BD-4E8B-8549-1555E739A6F8}" uniqueName="6" name="発見" queryTableFieldId="6" dataDxfId="97" totalsRowDxfId="96"/>
    <tableColumn id="7" xr3:uid="{FD830FB2-5E02-42B3-8CF5-6E393A1F2A30}" uniqueName="7" name="ゾーン" queryTableFieldId="7" dataDxfId="95" totalsRowDxfId="94"/>
    <tableColumn id="8" xr3:uid="{470C0B48-553D-4A47-80D1-3D8580E84A1F}" uniqueName="8" name="番号" queryTableFieldId="8" dataDxfId="93" totalsRowDxfId="92"/>
    <tableColumn id="9" xr3:uid="{1E7E0D62-8015-4D22-8934-180E5472E227}" uniqueName="9" name="数量" totalsRowFunction="sum" queryTableFieldId="9" dataDxfId="91" totalsRowDxfId="90"/>
    <tableColumn id="22" xr3:uid="{7D632845-1EA5-42C9-84C1-1ECFB13D0D89}" uniqueName="22" name="差戻し" queryTableFieldId="25"/>
    <tableColumn id="10" xr3:uid="{A72143B5-0B8A-42F8-BD4A-0A0465C1620C}" uniqueName="10" name="モード" queryTableFieldId="10" dataDxfId="89" totalsRowDxfId="88">
      <calculatedColumnFormula array="1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calculatedColumnFormula>
    </tableColumn>
    <tableColumn id="11" xr3:uid="{03B88717-E0B6-4EC3-AD65-229C33C0A6E1}" uniqueName="11" name="モード2" queryTableFieldId="11" dataDxfId="87" totalsRowDxfId="86">
      <calculatedColumnFormula>IF(LEFT(_不良集計ゾーン別ADO[[#This Row],[モード]],1)="裏",RIGHT(_不良集計ゾーン別ADO[[#This Row],[モード]],LEN(_不良集計ゾーン別ADO[[#This Row],[モード]])-1),_不良集計ゾーン別ADO[[#This Row],[モード]])</calculatedColumnFormula>
    </tableColumn>
    <tableColumn id="12" xr3:uid="{E6DCA4BE-B9A2-459F-A45B-5B5B0CF31DF6}" uniqueName="12" name="発見2" queryTableFieldId="12" dataDxfId="85" totalsRowDxfId="84">
      <calculatedColumnFormula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calculatedColumnFormula>
    </tableColumn>
    <tableColumn id="13" xr3:uid="{1F404E9C-6EC6-4FDA-9C8B-1B021ED35EFD}" uniqueName="13" name="発生" queryTableFieldId="13" dataDxfId="83" totalsRowDxfId="82">
      <calculatedColumnFormula array="1">_xlfn.XLOOKUP(TEXT(_不良集計ゾーン別ADO[[#This Row],[番号]],"@"),TEXT(_番号ADO[番号],"@"),_番号ADO[発生],"",0,1)</calculatedColumnFormula>
    </tableColumn>
    <tableColumn id="14" xr3:uid="{5221BD06-277C-41A8-A2AD-2B26E785FEEB}" uniqueName="14" name="Fr/Rr" queryTableFieldId="14" dataDxfId="81" totalsRowDxfId="80">
      <calculatedColumnFormula>_xlfn.IFS(MID(_不良集計ゾーン別ADO[[#This Row],[品番]],3,2)="Fr","Fr",MID(_不良集計ゾーン別ADO[[#This Row],[品番]],3,2)="Rr","Rr",TRUE,"")</calculatedColumnFormula>
    </tableColumn>
    <tableColumn id="15" xr3:uid="{FE80CA91-66F5-427D-8649-1EB22F31C08B}" uniqueName="15" name="RH/LH" queryTableFieldId="15" dataDxfId="79" totalsRowDxfId="78">
      <calculatedColumnFormula>IF(ISBLANK(_不良集計ゾーン別ADO[[#This Row],[品番]]),"",RIGHT(_不良集計ゾーン別ADO[[#This Row],[品番]],2))</calculatedColumnFormula>
    </tableColumn>
    <tableColumn id="18" xr3:uid="{DFD7C5E1-88DA-4437-9EE1-E43A33B3DEE5}" uniqueName="18" name="アル/ノア" queryTableFieldId="18" dataDxfId="77" totalsRowDxfId="76">
      <calculatedColumnFormula>_xlfn.IFS(LEFT(_不良集計ゾーン別ADO[[#This Row],[品番]],2)="アル","アルヴェル",LEFT(_不良集計ゾーン別ADO[[#This Row],[品番]],2)="ノア","ノアヴォク",TRUE,"")</calculatedColumnFormula>
    </tableColumn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table" Target="../tables/table3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table" Target="../tables/table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.emf"/><Relationship Id="rId11" Type="http://schemas.openxmlformats.org/officeDocument/2006/relationships/table" Target="../tables/table1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7F5CC-9792-4BD0-BBDC-A41C991A07C3}">
  <sheetPr codeName="Sheet18">
    <pageSetUpPr fitToPage="1"/>
  </sheetPr>
  <dimension ref="A1:AP95"/>
  <sheetViews>
    <sheetView tabSelected="1" zoomScale="50" zoomScaleNormal="50" workbookViewId="0">
      <selection activeCell="C23" sqref="C23"/>
    </sheetView>
  </sheetViews>
  <sheetFormatPr defaultColWidth="6.69921875" defaultRowHeight="18" x14ac:dyDescent="0.45"/>
  <cols>
    <col min="1" max="1" width="13.5" style="1" bestFit="1" customWidth="1"/>
    <col min="2" max="3" width="13.5" style="1" customWidth="1"/>
    <col min="5" max="14" width="7.59765625" customWidth="1"/>
    <col min="15" max="17" width="2.69921875" customWidth="1"/>
    <col min="18" max="18" width="7.59765625" customWidth="1"/>
    <col min="19" max="19" width="7.796875" customWidth="1"/>
    <col min="20" max="27" width="7.59765625" customWidth="1"/>
    <col min="28" max="30" width="7.19921875" customWidth="1"/>
    <col min="31" max="31" width="13.5" style="1" bestFit="1" customWidth="1"/>
    <col min="32" max="33" width="13.5" style="1" customWidth="1"/>
    <col min="34" max="34" width="6.69921875" customWidth="1"/>
    <col min="35" max="35" width="14.5" bestFit="1" customWidth="1"/>
    <col min="36" max="36" width="21.09765625" bestFit="1" customWidth="1"/>
    <col min="37" max="37" width="11.296875" bestFit="1" customWidth="1"/>
    <col min="38" max="38" width="5.59765625" bestFit="1" customWidth="1"/>
    <col min="39" max="41" width="9.296875" bestFit="1" customWidth="1"/>
    <col min="42" max="42" width="5.59765625" bestFit="1" customWidth="1"/>
  </cols>
  <sheetData>
    <row r="1" spans="1:36" ht="18.600000000000001" thickBot="1" x14ac:dyDescent="0.5">
      <c r="E1" s="8" t="s">
        <v>19</v>
      </c>
      <c r="F1" s="14">
        <v>46034</v>
      </c>
      <c r="G1" s="13" t="s">
        <v>17</v>
      </c>
      <c r="H1" s="13"/>
      <c r="I1" s="13"/>
      <c r="J1" s="13"/>
      <c r="K1" s="25" t="s">
        <v>184</v>
      </c>
      <c r="L1" s="12"/>
      <c r="M1" s="12"/>
      <c r="N1" s="12"/>
      <c r="O1" s="12"/>
      <c r="P1" s="12"/>
      <c r="Q1" s="12"/>
      <c r="R1" s="24"/>
      <c r="S1" s="12"/>
      <c r="T1" s="12"/>
      <c r="U1" s="12"/>
      <c r="V1" s="12"/>
      <c r="W1" s="12"/>
    </row>
    <row r="2" spans="1:36" ht="18.600000000000001" thickBot="1" x14ac:dyDescent="0.5">
      <c r="E2" s="8" t="s">
        <v>18</v>
      </c>
      <c r="F2" s="14">
        <v>46042</v>
      </c>
      <c r="G2" s="13" t="s">
        <v>17</v>
      </c>
      <c r="H2" s="13"/>
      <c r="I2" s="13"/>
      <c r="J2" s="13"/>
      <c r="K2" s="25" t="s">
        <v>185</v>
      </c>
      <c r="L2" s="12"/>
      <c r="M2" s="12"/>
      <c r="N2" s="12"/>
      <c r="O2" s="12"/>
      <c r="P2" s="12"/>
      <c r="Q2" s="12"/>
      <c r="S2" s="12"/>
      <c r="T2" s="12"/>
      <c r="U2" s="12" t="s">
        <v>28</v>
      </c>
      <c r="V2" s="12"/>
      <c r="W2" s="12"/>
    </row>
    <row r="3" spans="1:36" ht="18.600000000000001" thickBot="1" x14ac:dyDescent="0.5">
      <c r="E3" s="8" t="s">
        <v>16</v>
      </c>
      <c r="F3" s="11" t="s">
        <v>101</v>
      </c>
      <c r="G3" s="8"/>
      <c r="H3" s="8"/>
      <c r="I3" s="8"/>
      <c r="J3" s="8"/>
      <c r="K3" s="25" t="s">
        <v>186</v>
      </c>
      <c r="U3" s="22" t="s">
        <v>126</v>
      </c>
    </row>
    <row r="4" spans="1:36" x14ac:dyDescent="0.45">
      <c r="E4" s="8" t="s">
        <v>15</v>
      </c>
      <c r="F4" s="10" t="str" cm="1">
        <f t="array" ref="F4">_xlfn.IFS(F3="成形","塗装,モール,加工",F3="塗装","モール,加工",F3="モール","加工",F3="加工","")</f>
        <v>塗装,モール,加工</v>
      </c>
      <c r="G4" s="8"/>
      <c r="H4" s="8"/>
      <c r="I4" s="8"/>
      <c r="J4" s="8"/>
      <c r="K4" s="25" t="s">
        <v>187</v>
      </c>
      <c r="U4" s="15" t="s">
        <v>188</v>
      </c>
    </row>
    <row r="5" spans="1:36" x14ac:dyDescent="0.45">
      <c r="E5" s="8"/>
      <c r="F5" s="9"/>
      <c r="G5" s="8"/>
      <c r="H5" s="8"/>
      <c r="I5" s="8"/>
      <c r="J5" s="8"/>
    </row>
    <row r="6" spans="1:36" x14ac:dyDescent="0.45">
      <c r="A6" s="6" t="str">
        <f>TEXT($F$3, "標準") &amp; " アルヴェルFr 流出"</f>
        <v>成形 アルヴェルFr 流出</v>
      </c>
      <c r="E6" s="7" t="s">
        <v>202</v>
      </c>
      <c r="AE6" s="6" t="str">
        <f>TEXT($F$3, "標準") &amp; " ノアヴォクFr 流出"</f>
        <v>成形 ノアヴォクFr 流出</v>
      </c>
    </row>
    <row r="7" spans="1:36" x14ac:dyDescent="0.45">
      <c r="A7" s="48" t="s">
        <v>204</v>
      </c>
      <c r="B7" s="44" t="s">
        <v>205</v>
      </c>
      <c r="C7" s="49" t="s">
        <v>206</v>
      </c>
      <c r="E7" s="7"/>
      <c r="AE7" s="48" t="s">
        <v>204</v>
      </c>
      <c r="AF7" s="44" t="s">
        <v>205</v>
      </c>
      <c r="AG7" s="49" t="s">
        <v>206</v>
      </c>
      <c r="AI7" s="5" t="s">
        <v>12</v>
      </c>
      <c r="AJ7" s="1" t="s">
        <v>8</v>
      </c>
    </row>
    <row r="8" spans="1:36" x14ac:dyDescent="0.45">
      <c r="A8" s="45" t="s">
        <v>14</v>
      </c>
      <c r="B8" s="31" t="s">
        <v>4</v>
      </c>
      <c r="C8" s="46"/>
      <c r="AE8" s="45" t="s">
        <v>14</v>
      </c>
      <c r="AF8" s="31" t="s">
        <v>4</v>
      </c>
      <c r="AG8" s="46"/>
      <c r="AI8" s="5" t="s">
        <v>11</v>
      </c>
      <c r="AJ8" s="1" t="s">
        <v>101</v>
      </c>
    </row>
    <row r="9" spans="1:36" x14ac:dyDescent="0.45">
      <c r="A9" s="45" t="s">
        <v>14</v>
      </c>
      <c r="B9" s="31" t="s">
        <v>3</v>
      </c>
      <c r="C9" s="46">
        <v>2</v>
      </c>
      <c r="AE9" s="45" t="s">
        <v>14</v>
      </c>
      <c r="AF9" s="31" t="s">
        <v>3</v>
      </c>
      <c r="AG9" s="46"/>
      <c r="AI9" s="5" t="s">
        <v>9</v>
      </c>
      <c r="AJ9" s="1" t="s">
        <v>8</v>
      </c>
    </row>
    <row r="10" spans="1:36" x14ac:dyDescent="0.45">
      <c r="A10" s="45" t="s">
        <v>14</v>
      </c>
      <c r="B10" s="31" t="s">
        <v>2</v>
      </c>
      <c r="C10" s="46"/>
      <c r="AE10" s="45" t="s">
        <v>14</v>
      </c>
      <c r="AF10" s="31" t="s">
        <v>2</v>
      </c>
      <c r="AG10" s="46">
        <v>1</v>
      </c>
      <c r="AI10" s="1"/>
      <c r="AJ10" s="1"/>
    </row>
    <row r="11" spans="1:36" x14ac:dyDescent="0.45">
      <c r="A11" s="45" t="s">
        <v>14</v>
      </c>
      <c r="B11" s="31" t="s">
        <v>1</v>
      </c>
      <c r="C11" s="46">
        <v>1</v>
      </c>
      <c r="AE11" s="45" t="s">
        <v>14</v>
      </c>
      <c r="AF11" s="31" t="s">
        <v>1</v>
      </c>
      <c r="AG11" s="46">
        <v>1</v>
      </c>
      <c r="AI11" s="5" t="s">
        <v>7</v>
      </c>
      <c r="AJ11" s="1" t="s">
        <v>6</v>
      </c>
    </row>
    <row r="12" spans="1:36" x14ac:dyDescent="0.45">
      <c r="A12" s="45" t="s">
        <v>14</v>
      </c>
      <c r="B12" s="31" t="s">
        <v>0</v>
      </c>
      <c r="C12" s="46">
        <v>3</v>
      </c>
      <c r="AE12" s="45" t="s">
        <v>14</v>
      </c>
      <c r="AF12" s="31" t="s">
        <v>0</v>
      </c>
      <c r="AG12" s="46">
        <v>4</v>
      </c>
      <c r="AI12" s="2" t="s">
        <v>4</v>
      </c>
      <c r="AJ12" s="1">
        <v>5</v>
      </c>
    </row>
    <row r="13" spans="1:36" x14ac:dyDescent="0.45">
      <c r="A13" s="45" t="s">
        <v>203</v>
      </c>
      <c r="B13" s="31" t="s">
        <v>4</v>
      </c>
      <c r="C13" s="46"/>
      <c r="AE13" s="45" t="s">
        <v>203</v>
      </c>
      <c r="AF13" s="31" t="s">
        <v>4</v>
      </c>
      <c r="AG13" s="46"/>
      <c r="AI13" s="3" t="s">
        <v>126</v>
      </c>
      <c r="AJ13" s="1">
        <v>4</v>
      </c>
    </row>
    <row r="14" spans="1:36" x14ac:dyDescent="0.45">
      <c r="A14" s="45" t="s">
        <v>203</v>
      </c>
      <c r="B14" s="31" t="s">
        <v>3</v>
      </c>
      <c r="C14" s="46"/>
      <c r="AE14" s="45" t="s">
        <v>203</v>
      </c>
      <c r="AF14" s="31" t="s">
        <v>3</v>
      </c>
      <c r="AG14" s="46">
        <v>1</v>
      </c>
      <c r="AI14" s="3" t="s">
        <v>183</v>
      </c>
      <c r="AJ14" s="1">
        <v>1</v>
      </c>
    </row>
    <row r="15" spans="1:36" x14ac:dyDescent="0.45">
      <c r="A15" s="45" t="s">
        <v>203</v>
      </c>
      <c r="B15" s="32" t="s">
        <v>2</v>
      </c>
      <c r="C15" s="47"/>
      <c r="AE15" s="45" t="s">
        <v>203</v>
      </c>
      <c r="AF15" s="32" t="s">
        <v>2</v>
      </c>
      <c r="AG15" s="47">
        <v>1</v>
      </c>
      <c r="AI15" s="2" t="s">
        <v>3</v>
      </c>
      <c r="AJ15" s="1">
        <v>4</v>
      </c>
    </row>
    <row r="16" spans="1:36" x14ac:dyDescent="0.45">
      <c r="A16" s="45" t="s">
        <v>203</v>
      </c>
      <c r="B16" s="31" t="s">
        <v>1</v>
      </c>
      <c r="C16" s="46"/>
      <c r="AE16" s="45" t="s">
        <v>203</v>
      </c>
      <c r="AF16" s="31" t="s">
        <v>1</v>
      </c>
      <c r="AG16" s="46">
        <v>1</v>
      </c>
      <c r="AI16" s="3" t="s">
        <v>126</v>
      </c>
      <c r="AJ16" s="1">
        <v>3</v>
      </c>
    </row>
    <row r="17" spans="1:42" x14ac:dyDescent="0.45">
      <c r="A17" s="50" t="s">
        <v>203</v>
      </c>
      <c r="B17" s="51" t="s">
        <v>0</v>
      </c>
      <c r="C17" s="52"/>
      <c r="AE17" s="50" t="s">
        <v>203</v>
      </c>
      <c r="AF17" s="51" t="s">
        <v>0</v>
      </c>
      <c r="AG17" s="52">
        <v>5</v>
      </c>
      <c r="AI17" s="3" t="s">
        <v>163</v>
      </c>
      <c r="AJ17" s="1">
        <v>1</v>
      </c>
    </row>
    <row r="18" spans="1:42" x14ac:dyDescent="0.45">
      <c r="AI18" s="2" t="s">
        <v>2</v>
      </c>
      <c r="AJ18" s="1">
        <v>11</v>
      </c>
    </row>
    <row r="19" spans="1:42" x14ac:dyDescent="0.45">
      <c r="A19" s="39" t="s">
        <v>14</v>
      </c>
      <c r="B19" s="31" t="s">
        <v>4</v>
      </c>
      <c r="AE19" s="39" t="s">
        <v>14</v>
      </c>
      <c r="AF19" s="31" t="s">
        <v>4</v>
      </c>
      <c r="AG19"/>
      <c r="AI19" s="3" t="s">
        <v>126</v>
      </c>
      <c r="AJ19" s="1">
        <v>4</v>
      </c>
    </row>
    <row r="20" spans="1:42" x14ac:dyDescent="0.45">
      <c r="A20" s="40"/>
      <c r="B20" s="31" t="s">
        <v>3</v>
      </c>
      <c r="AE20" s="40"/>
      <c r="AF20" s="31" t="s">
        <v>3</v>
      </c>
      <c r="AG20"/>
      <c r="AI20" s="3" t="s">
        <v>164</v>
      </c>
      <c r="AJ20" s="1">
        <v>2</v>
      </c>
    </row>
    <row r="21" spans="1:42" x14ac:dyDescent="0.45">
      <c r="A21" s="40"/>
      <c r="B21" s="31" t="s">
        <v>2</v>
      </c>
      <c r="AE21" s="40"/>
      <c r="AF21" s="31" t="s">
        <v>2</v>
      </c>
      <c r="AG21"/>
      <c r="AI21" s="3" t="s">
        <v>155</v>
      </c>
      <c r="AJ21" s="1">
        <v>2</v>
      </c>
    </row>
    <row r="22" spans="1:42" x14ac:dyDescent="0.45">
      <c r="A22" s="40"/>
      <c r="B22" s="31" t="s">
        <v>1</v>
      </c>
      <c r="AE22" s="40"/>
      <c r="AF22" s="31" t="s">
        <v>1</v>
      </c>
      <c r="AG22"/>
      <c r="AI22" s="3" t="s">
        <v>163</v>
      </c>
      <c r="AJ22" s="1">
        <v>1</v>
      </c>
    </row>
    <row r="23" spans="1:42" s="23" customFormat="1" x14ac:dyDescent="0.45">
      <c r="A23" s="41"/>
      <c r="B23" s="31" t="s">
        <v>0</v>
      </c>
      <c r="E23" s="21" t="str">
        <f>IF(B8=MAX(B8:B12),A8,"")&amp;IF(B9=MAX(B8:B12),A9,"")&amp;IF(B10=MAX(B8:B12),A10,"")&amp;IF(B11=MAX(B8:B12),A11,"")&amp;IF(B12=MAX(B8:B12),A12,"")</f>
        <v/>
      </c>
      <c r="F23" s="21"/>
      <c r="G23" s="21"/>
      <c r="H23" s="21"/>
      <c r="I23" s="21"/>
      <c r="J23" s="21"/>
      <c r="K23" s="21"/>
      <c r="L23" s="21"/>
      <c r="M23" s="21"/>
      <c r="N23" s="21" t="str">
        <f>IF(B13=MAX(B13:B17),A13,"")&amp;IF(B14=MAX(B13:B17),A14,"")&amp;IF(B15=MAX(B13:B17),A15,"")&amp;IF(B16=MAX(B13:B17),A16,"")&amp;IF(B17=MAX(B13:B17),A17,"")</f>
        <v/>
      </c>
      <c r="O23" s="21"/>
      <c r="P23" s="21"/>
      <c r="Q23" s="21"/>
      <c r="R23" s="21" t="str">
        <f>IF(AF15=MAX(AF15:AF20),AE15,"")&amp;IF(AF16=MAX(AF15:AF20),AE16,"")&amp;IF(AF17=MAX(AF15:AF20),AE17,"")&amp;IF(AF19=MAX(AF15:AF20),AE19,"")&amp;IF(AF20=MAX(AF15:AF20),AE20,"")</f>
        <v/>
      </c>
      <c r="S23" s="21"/>
      <c r="T23" s="21"/>
      <c r="U23" s="21"/>
      <c r="V23" s="21"/>
      <c r="W23" s="21"/>
      <c r="X23" s="21"/>
      <c r="Y23" s="21"/>
      <c r="Z23" s="21"/>
      <c r="AA23" s="21" t="str">
        <f>IF(AF22=MAX(AF22:AF26),AE22,"")&amp;IF(AF23=MAX(AF22:AF26),AE23,"")&amp;IF(AF24=MAX(AF22:AF26),AE24,"")&amp;IF(AF25=MAX(AF22:AF26),AE25,"")&amp;IF(AF26=MAX(AF22:AF26),AE26,"")</f>
        <v/>
      </c>
      <c r="AE23" s="41"/>
      <c r="AF23" s="31" t="s">
        <v>0</v>
      </c>
      <c r="AG23"/>
      <c r="AI23" s="3" t="s">
        <v>183</v>
      </c>
      <c r="AJ23" s="1">
        <v>2</v>
      </c>
      <c r="AK23"/>
      <c r="AL23"/>
      <c r="AM23"/>
      <c r="AN23"/>
      <c r="AO23"/>
      <c r="AP23"/>
    </row>
    <row r="24" spans="1:42" ht="18" customHeight="1" x14ac:dyDescent="0.45">
      <c r="A24" s="39" t="s">
        <v>203</v>
      </c>
      <c r="B24" s="31" t="s">
        <v>4</v>
      </c>
      <c r="E24" s="26" t="str">
        <f>IF(SUM(B8:B12)=0,"",IF(COUNTIF($E$23,"*A*")&gt;0,"A",""))</f>
        <v/>
      </c>
      <c r="F24" s="26"/>
      <c r="G24" s="26" t="str">
        <f>IF(SUM(B8:B12)=0,"",IF(COUNTIF($E$23,"*B*")&gt;0,"B",""))</f>
        <v/>
      </c>
      <c r="H24" s="26"/>
      <c r="I24" s="26" t="str">
        <f>IF(SUM(B8:B12)=0,"",IF(COUNTIF($E$23,"*C*")&gt;0,"C",""))</f>
        <v/>
      </c>
      <c r="J24" s="26"/>
      <c r="K24" s="26" t="str">
        <f>IF(SUM(B8:B12)=0,"",IF(COUNTIF($E$23,"*D*")&gt;0,"D",""))</f>
        <v/>
      </c>
      <c r="L24" s="26"/>
      <c r="M24" s="26" t="str">
        <f>IF(SUM(B8:B12)=0,"",IF(COUNTIF($E$23,"*E*")&gt;0,"E",""))</f>
        <v/>
      </c>
      <c r="N24" s="26"/>
      <c r="O24" s="27" t="s">
        <v>171</v>
      </c>
      <c r="P24" s="27"/>
      <c r="Q24" s="27"/>
      <c r="R24" s="26" t="str">
        <f>IF(SUM(AF15:AF20)=0,"",IF(COUNTIF($R$23,"*A*")&gt;0,"A",""))</f>
        <v/>
      </c>
      <c r="S24" s="26"/>
      <c r="T24" s="26" t="str">
        <f>IF(SUM(AF15:AF20)=0,"",IF(COUNTIF($R$23,"*B*")&gt;0,"B",""))</f>
        <v/>
      </c>
      <c r="U24" s="26"/>
      <c r="V24" s="26" t="str">
        <f>IF(SUM(AF15:AF20)=0,"",IF(COUNTIF($R$23,"*C*")&gt;0,"C",""))</f>
        <v/>
      </c>
      <c r="W24" s="26"/>
      <c r="X24" s="26" t="str">
        <f>IF(SUM(AF15:AF20)=0,"",IF(COUNTIF($R$23,"*D*")&gt;0,"D",""))</f>
        <v/>
      </c>
      <c r="Y24" s="26"/>
      <c r="Z24" s="26" t="str">
        <f>IF(SUM(AF15:AF20)=0,"",IF(COUNTIF($R$23,"*E*")&gt;0,"E",""))</f>
        <v/>
      </c>
      <c r="AA24" s="26"/>
      <c r="AE24" s="39" t="s">
        <v>203</v>
      </c>
      <c r="AF24" s="31" t="s">
        <v>4</v>
      </c>
      <c r="AG24"/>
      <c r="AI24" s="2" t="s">
        <v>1</v>
      </c>
      <c r="AJ24" s="1">
        <v>10</v>
      </c>
    </row>
    <row r="25" spans="1:42" ht="18" customHeight="1" x14ac:dyDescent="0.45">
      <c r="A25" s="40"/>
      <c r="B25" s="31" t="s">
        <v>3</v>
      </c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7"/>
      <c r="P25" s="27"/>
      <c r="Q25" s="27"/>
      <c r="R25" s="26"/>
      <c r="S25" s="26"/>
      <c r="T25" s="26"/>
      <c r="U25" s="26"/>
      <c r="V25" s="26"/>
      <c r="W25" s="26"/>
      <c r="X25" s="26"/>
      <c r="Y25" s="26"/>
      <c r="Z25" s="26"/>
      <c r="AA25" s="26"/>
      <c r="AE25" s="40"/>
      <c r="AF25" s="31" t="s">
        <v>3</v>
      </c>
      <c r="AG25"/>
      <c r="AI25" s="3" t="s">
        <v>126</v>
      </c>
      <c r="AJ25" s="1">
        <v>4</v>
      </c>
    </row>
    <row r="26" spans="1:42" ht="18" customHeight="1" x14ac:dyDescent="0.45">
      <c r="A26" s="40"/>
      <c r="B26" s="32" t="s">
        <v>2</v>
      </c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7"/>
      <c r="P26" s="27"/>
      <c r="Q26" s="27"/>
      <c r="R26" s="26"/>
      <c r="S26" s="26"/>
      <c r="T26" s="26"/>
      <c r="U26" s="26"/>
      <c r="V26" s="26"/>
      <c r="W26" s="26"/>
      <c r="X26" s="26"/>
      <c r="Y26" s="26"/>
      <c r="Z26" s="26"/>
      <c r="AA26" s="26"/>
      <c r="AE26" s="40"/>
      <c r="AF26" s="32" t="s">
        <v>2</v>
      </c>
      <c r="AG26"/>
      <c r="AI26" s="3" t="s">
        <v>164</v>
      </c>
      <c r="AJ26" s="1">
        <v>1</v>
      </c>
    </row>
    <row r="27" spans="1:42" ht="18" customHeight="1" x14ac:dyDescent="0.45">
      <c r="A27" s="40"/>
      <c r="B27" s="31" t="s">
        <v>1</v>
      </c>
      <c r="C27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7"/>
      <c r="P27" s="27"/>
      <c r="Q27" s="27"/>
      <c r="R27" s="26"/>
      <c r="S27" s="26"/>
      <c r="T27" s="26"/>
      <c r="U27" s="26"/>
      <c r="V27" s="26"/>
      <c r="W27" s="26"/>
      <c r="X27" s="26"/>
      <c r="Y27" s="26"/>
      <c r="Z27" s="26"/>
      <c r="AA27" s="26"/>
      <c r="AE27" s="40"/>
      <c r="AF27" s="31" t="s">
        <v>1</v>
      </c>
      <c r="AG27"/>
      <c r="AI27" s="3" t="s">
        <v>183</v>
      </c>
      <c r="AJ27" s="1">
        <v>5</v>
      </c>
    </row>
    <row r="28" spans="1:42" ht="18" customHeight="1" x14ac:dyDescent="0.45">
      <c r="A28" s="41"/>
      <c r="B28" s="31" t="s">
        <v>0</v>
      </c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7"/>
      <c r="P28" s="27"/>
      <c r="Q28" s="27"/>
      <c r="R28" s="26"/>
      <c r="S28" s="26"/>
      <c r="T28" s="26"/>
      <c r="U28" s="26"/>
      <c r="V28" s="26"/>
      <c r="W28" s="26"/>
      <c r="X28" s="26"/>
      <c r="Y28" s="26"/>
      <c r="Z28" s="26"/>
      <c r="AA28" s="26"/>
      <c r="AE28" s="41"/>
      <c r="AF28" s="31" t="s">
        <v>0</v>
      </c>
      <c r="AI28" s="2" t="s">
        <v>0</v>
      </c>
      <c r="AJ28" s="1">
        <v>16</v>
      </c>
    </row>
    <row r="29" spans="1:42" ht="18" customHeight="1" x14ac:dyDescent="0.45">
      <c r="A29" s="23"/>
      <c r="B29" s="23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7"/>
      <c r="P29" s="27"/>
      <c r="Q29" s="27"/>
      <c r="R29" s="26"/>
      <c r="S29" s="26"/>
      <c r="T29" s="26"/>
      <c r="U29" s="26"/>
      <c r="V29" s="26"/>
      <c r="W29" s="26"/>
      <c r="X29" s="26"/>
      <c r="Y29" s="26"/>
      <c r="Z29" s="26"/>
      <c r="AA29" s="26"/>
      <c r="AE29" s="2"/>
      <c r="AI29" s="3" t="s">
        <v>158</v>
      </c>
      <c r="AJ29" s="1">
        <v>1</v>
      </c>
    </row>
    <row r="30" spans="1:42" ht="18" customHeight="1" x14ac:dyDescent="0.45">
      <c r="A30" s="23"/>
      <c r="B30" s="23"/>
      <c r="E30" s="26" t="str">
        <f>IF(SUM(B13:B17)=0,"",IF(COUNTIF($N$23,"*E*")&gt;0,"E",""))</f>
        <v/>
      </c>
      <c r="F30" s="26"/>
      <c r="G30" s="26" t="str">
        <f>IF(SUM(B13:B17)=0,"",IF(COUNTIF($N$23,"*D*")&gt;0,"D",""))</f>
        <v/>
      </c>
      <c r="H30" s="26"/>
      <c r="I30" s="26" t="str">
        <f>IF(SUM(B13:B17)=0,"",IF(COUNTIF($N$23,"*C*")&gt;0,"C",""))</f>
        <v/>
      </c>
      <c r="J30" s="26"/>
      <c r="K30" s="26" t="str">
        <f>IF(SUM(B13:B17)=0,"",IF(COUNTIF($N$23,"*B*")&gt;0,"B",""))</f>
        <v/>
      </c>
      <c r="L30" s="26"/>
      <c r="M30" s="26" t="str">
        <f>IF(SUM(B13:B17)=0,"",IF(COUNTIF($N$23,"*A*")&gt;0,"A",""))</f>
        <v/>
      </c>
      <c r="N30" s="26"/>
      <c r="O30" s="27" t="s">
        <v>172</v>
      </c>
      <c r="P30" s="27"/>
      <c r="Q30" s="27"/>
      <c r="R30" s="26" t="str">
        <f>IF(SUM(AF22:AF26)=0,"",IF(COUNTIF($AA$23,"*E*")&gt;0,"E",""))</f>
        <v/>
      </c>
      <c r="S30" s="26"/>
      <c r="T30" s="26" t="str">
        <f>IF(SUM(AF22:AF26)=0,"",IF(COUNTIF($AA$23,"*D*")&gt;0,"D",""))</f>
        <v/>
      </c>
      <c r="U30" s="26"/>
      <c r="V30" s="26" t="str">
        <f>IF(SUM(AF22:AF26)=0,"",IF(COUNTIF($AA$23,"*C*")&gt;0,"C",""))</f>
        <v/>
      </c>
      <c r="W30" s="26"/>
      <c r="X30" s="26" t="str">
        <f>IF(SUM(AF22:AF26)=0,"",IF(COUNTIF($AA$23,"*B*")&gt;0,"B",""))</f>
        <v/>
      </c>
      <c r="Y30" s="26"/>
      <c r="Z30" s="26" t="str">
        <f>IF(SUM(AF22:AF26)=0,"",IF(COUNTIF($AA$23,"*A*")&gt;0,"A",""))</f>
        <v/>
      </c>
      <c r="AA30" s="26"/>
      <c r="AE30" s="2"/>
      <c r="AI30" s="3" t="s">
        <v>126</v>
      </c>
      <c r="AJ30" s="1">
        <v>15</v>
      </c>
    </row>
    <row r="31" spans="1:42" ht="18" customHeight="1" x14ac:dyDescent="0.45">
      <c r="A31" s="23"/>
      <c r="B31" s="23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7"/>
      <c r="P31" s="27"/>
      <c r="Q31" s="27"/>
      <c r="R31" s="26"/>
      <c r="S31" s="26"/>
      <c r="T31" s="26"/>
      <c r="U31" s="26"/>
      <c r="V31" s="26"/>
      <c r="W31" s="26"/>
      <c r="X31" s="26"/>
      <c r="Y31" s="26"/>
      <c r="Z31" s="26"/>
      <c r="AA31" s="26"/>
      <c r="AE31" s="2"/>
    </row>
    <row r="32" spans="1:42" ht="18" customHeight="1" x14ac:dyDescent="0.45">
      <c r="A32" s="23"/>
      <c r="B32" s="23"/>
      <c r="C32" s="1" t="s">
        <v>208</v>
      </c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7"/>
      <c r="P32" s="27"/>
      <c r="Q32" s="27"/>
      <c r="R32" s="26"/>
      <c r="S32" s="26"/>
      <c r="T32" s="26"/>
      <c r="U32" s="26"/>
      <c r="V32" s="26"/>
      <c r="W32" s="26"/>
      <c r="X32" s="26"/>
      <c r="Y32" s="26"/>
      <c r="Z32" s="26"/>
      <c r="AA32" s="26"/>
      <c r="AE32" s="2"/>
    </row>
    <row r="33" spans="1:33" ht="18" customHeight="1" x14ac:dyDescent="0.45">
      <c r="A33" s="23"/>
      <c r="B33" s="23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7"/>
      <c r="P33" s="27"/>
      <c r="Q33" s="27"/>
      <c r="R33" s="26"/>
      <c r="S33" s="26"/>
      <c r="T33" s="26"/>
      <c r="U33" s="26"/>
      <c r="V33" s="26"/>
      <c r="W33" s="26"/>
      <c r="X33" s="26"/>
      <c r="Y33" s="26"/>
      <c r="Z33" s="26"/>
      <c r="AA33" s="26"/>
      <c r="AE33" s="2"/>
    </row>
    <row r="34" spans="1:33" ht="18" customHeight="1" x14ac:dyDescent="0.45">
      <c r="A34" s="23"/>
      <c r="B34" s="23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7"/>
      <c r="P34" s="27"/>
      <c r="Q34" s="27"/>
      <c r="R34" s="26"/>
      <c r="S34" s="26"/>
      <c r="T34" s="26"/>
      <c r="U34" s="26"/>
      <c r="V34" s="26"/>
      <c r="W34" s="26"/>
      <c r="X34" s="26"/>
      <c r="Y34" s="26"/>
      <c r="Z34" s="26"/>
      <c r="AA34" s="26"/>
      <c r="AE34" s="2"/>
    </row>
    <row r="35" spans="1:33" ht="18" customHeight="1" x14ac:dyDescent="0.45">
      <c r="A35" s="23"/>
      <c r="B35" s="23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7"/>
      <c r="P35" s="27"/>
      <c r="Q35" s="27"/>
      <c r="R35" s="26"/>
      <c r="S35" s="26"/>
      <c r="T35" s="26"/>
      <c r="U35" s="26"/>
      <c r="V35" s="26"/>
      <c r="W35" s="26"/>
      <c r="X35" s="26"/>
      <c r="Y35" s="26"/>
      <c r="Z35" s="26"/>
      <c r="AA35" s="26"/>
      <c r="AE35" s="2"/>
    </row>
    <row r="36" spans="1:33" x14ac:dyDescent="0.45">
      <c r="A36" s="6" t="str">
        <f>TEXT($F$3, "標準") &amp; " アルヴェルRr 流出"</f>
        <v>成形 アルヴェルRr 流出</v>
      </c>
      <c r="AE36" s="6" t="str">
        <f>TEXT($F$3, "標準") &amp; " ノアヴォクRr 流出"</f>
        <v>成形 ノアヴォクRr 流出</v>
      </c>
    </row>
    <row r="37" spans="1:33" x14ac:dyDescent="0.45">
      <c r="A37" s="48" t="s">
        <v>204</v>
      </c>
      <c r="B37" s="44" t="s">
        <v>205</v>
      </c>
      <c r="C37" s="49" t="s">
        <v>206</v>
      </c>
      <c r="AE37" s="48" t="s">
        <v>204</v>
      </c>
      <c r="AF37" s="44" t="s">
        <v>205</v>
      </c>
      <c r="AG37" s="49" t="s">
        <v>206</v>
      </c>
    </row>
    <row r="38" spans="1:33" x14ac:dyDescent="0.45">
      <c r="A38" s="45" t="s">
        <v>5</v>
      </c>
      <c r="B38" s="31" t="s">
        <v>4</v>
      </c>
      <c r="C38" s="46"/>
      <c r="AE38" s="45" t="s">
        <v>5</v>
      </c>
      <c r="AF38" s="31" t="s">
        <v>4</v>
      </c>
      <c r="AG38" s="46">
        <v>1</v>
      </c>
    </row>
    <row r="39" spans="1:33" x14ac:dyDescent="0.45">
      <c r="A39" s="45" t="s">
        <v>5</v>
      </c>
      <c r="B39" s="31" t="s">
        <v>3</v>
      </c>
      <c r="C39" s="46"/>
      <c r="AE39" s="45" t="s">
        <v>5</v>
      </c>
      <c r="AF39" s="31" t="s">
        <v>3</v>
      </c>
      <c r="AG39" s="46"/>
    </row>
    <row r="40" spans="1:33" x14ac:dyDescent="0.45">
      <c r="A40" s="45" t="s">
        <v>5</v>
      </c>
      <c r="B40" s="31" t="s">
        <v>2</v>
      </c>
      <c r="C40" s="46"/>
      <c r="AE40" s="45" t="s">
        <v>5</v>
      </c>
      <c r="AF40" s="31" t="s">
        <v>2</v>
      </c>
      <c r="AG40" s="46">
        <v>1</v>
      </c>
    </row>
    <row r="41" spans="1:33" x14ac:dyDescent="0.45">
      <c r="A41" s="45" t="s">
        <v>5</v>
      </c>
      <c r="B41" s="31" t="s">
        <v>1</v>
      </c>
      <c r="C41" s="46"/>
      <c r="AE41" s="45" t="s">
        <v>5</v>
      </c>
      <c r="AF41" s="31" t="s">
        <v>1</v>
      </c>
      <c r="AG41" s="46"/>
    </row>
    <row r="42" spans="1:33" x14ac:dyDescent="0.45">
      <c r="A42" s="45" t="s">
        <v>5</v>
      </c>
      <c r="B42" s="31" t="s">
        <v>0</v>
      </c>
      <c r="C42" s="46"/>
      <c r="AE42" s="45" t="s">
        <v>5</v>
      </c>
      <c r="AF42" s="31" t="s">
        <v>0</v>
      </c>
      <c r="AG42" s="46">
        <v>3</v>
      </c>
    </row>
    <row r="43" spans="1:33" x14ac:dyDescent="0.45">
      <c r="A43" s="45" t="s">
        <v>207</v>
      </c>
      <c r="B43" s="31" t="s">
        <v>4</v>
      </c>
      <c r="C43" s="46">
        <v>2</v>
      </c>
      <c r="AE43" s="45" t="s">
        <v>207</v>
      </c>
      <c r="AF43" s="31" t="s">
        <v>4</v>
      </c>
      <c r="AG43" s="46">
        <v>2</v>
      </c>
    </row>
    <row r="44" spans="1:33" x14ac:dyDescent="0.45">
      <c r="A44" s="45" t="s">
        <v>207</v>
      </c>
      <c r="B44" s="31" t="s">
        <v>3</v>
      </c>
      <c r="C44" s="46"/>
      <c r="AE44" s="45" t="s">
        <v>207</v>
      </c>
      <c r="AF44" s="31" t="s">
        <v>3</v>
      </c>
      <c r="AG44" s="46"/>
    </row>
    <row r="45" spans="1:33" x14ac:dyDescent="0.45">
      <c r="A45" s="45" t="s">
        <v>207</v>
      </c>
      <c r="B45" s="31" t="s">
        <v>2</v>
      </c>
      <c r="C45" s="46"/>
      <c r="AE45" s="45" t="s">
        <v>207</v>
      </c>
      <c r="AF45" s="31" t="s">
        <v>2</v>
      </c>
      <c r="AG45" s="46">
        <v>1</v>
      </c>
    </row>
    <row r="46" spans="1:33" x14ac:dyDescent="0.45">
      <c r="A46" s="45" t="s">
        <v>207</v>
      </c>
      <c r="B46" s="31" t="s">
        <v>1</v>
      </c>
      <c r="C46" s="46"/>
      <c r="AE46" s="45" t="s">
        <v>207</v>
      </c>
      <c r="AF46" s="31" t="s">
        <v>1</v>
      </c>
      <c r="AG46" s="46">
        <v>1</v>
      </c>
    </row>
    <row r="47" spans="1:33" x14ac:dyDescent="0.45">
      <c r="A47" s="50" t="s">
        <v>207</v>
      </c>
      <c r="B47" s="51" t="s">
        <v>0</v>
      </c>
      <c r="C47" s="52"/>
      <c r="AE47" s="50" t="s">
        <v>207</v>
      </c>
      <c r="AF47" s="51" t="s">
        <v>0</v>
      </c>
      <c r="AG47" s="52"/>
    </row>
    <row r="48" spans="1:33" x14ac:dyDescent="0.45">
      <c r="A48"/>
      <c r="B48"/>
      <c r="AE48"/>
      <c r="AF48"/>
    </row>
    <row r="49" spans="1:36" x14ac:dyDescent="0.45">
      <c r="A49"/>
      <c r="B49"/>
      <c r="AE49"/>
      <c r="AF49"/>
    </row>
    <row r="50" spans="1:36" x14ac:dyDescent="0.45">
      <c r="A50"/>
      <c r="B50"/>
      <c r="AE50"/>
      <c r="AF50"/>
    </row>
    <row r="51" spans="1:36" x14ac:dyDescent="0.45">
      <c r="A51"/>
      <c r="B51"/>
      <c r="AE51"/>
      <c r="AF51"/>
    </row>
    <row r="52" spans="1:36" x14ac:dyDescent="0.45">
      <c r="A52"/>
      <c r="B52"/>
      <c r="AE52"/>
      <c r="AF52"/>
    </row>
    <row r="53" spans="1:36" x14ac:dyDescent="0.45">
      <c r="A53"/>
      <c r="B53"/>
      <c r="E53" s="4" t="str">
        <f>IF(B45=MAX(B45:B49),A45,"")&amp;IF(B46=MAX(B45:B49),A46,"")&amp;IF(B47=MAX(B45:B49),A47,"")&amp;IF(B48=MAX(B45:B49),A48,"")&amp;IF(B49=MAX(B45:B49),A49,"")</f>
        <v/>
      </c>
      <c r="F53" s="4"/>
      <c r="G53" s="4"/>
      <c r="H53" s="4"/>
      <c r="I53" s="4"/>
      <c r="J53" s="4"/>
      <c r="K53" s="4"/>
      <c r="L53" s="4"/>
      <c r="M53" s="4"/>
      <c r="N53" s="4" t="str">
        <f>IF(B51=MAX(B51:B55),A51,"")&amp;IF(B52=MAX(B51:B55),A52,"")&amp;IF(B53=MAX(B51:B55),A53,"")&amp;IF(B54=MAX(B51:B55),A54,"")&amp;IF(B55=MAX(B51:B55),A55,"")</f>
        <v/>
      </c>
      <c r="O53" s="20"/>
      <c r="P53" s="20"/>
      <c r="Q53" s="20"/>
      <c r="R53" s="4" t="str">
        <f>IF(AF45=MAX(AF45:AF49),AE45,"")&amp;IF(AF46=MAX(AF45:AF49),AE46,"")&amp;IF(AF47=MAX(AF45:AF49),AE47,"")&amp;IF(AF48=MAX(AF45:AF49),AE48,"")&amp;IF(AF49=MAX(AF45:AF49),AE49,"")</f>
        <v/>
      </c>
      <c r="S53" s="4"/>
      <c r="T53" s="4"/>
      <c r="U53" s="4"/>
      <c r="V53" s="4"/>
      <c r="W53" s="4"/>
      <c r="X53" s="4"/>
      <c r="Y53" s="4"/>
      <c r="Z53" s="4"/>
      <c r="AA53" s="4" t="str">
        <f>IF(AF51=MAX(AF51:AF55),AE51,"")&amp;IF(AF52=MAX(AF51:AF55),AE52,"")&amp;IF(AF53=MAX(AF51:AF55),AE53,"")&amp;IF(AF54=MAX(AF51:AF55),AE54,"")&amp;IF(AF55=MAX(AF51:AF55),AE55,"")</f>
        <v/>
      </c>
      <c r="AE53"/>
      <c r="AF53"/>
    </row>
    <row r="54" spans="1:36" ht="18" customHeight="1" x14ac:dyDescent="0.45">
      <c r="A54"/>
      <c r="B54"/>
      <c r="E54" s="26" t="str">
        <f>IF(SUM(B45:B49)=0,"",IF(COUNTIF($E$53,"*A*")&gt;0,"A",""))</f>
        <v/>
      </c>
      <c r="F54" s="26"/>
      <c r="G54" s="26" t="str">
        <f>IF(SUM(B45:B49)=0,"",IF(COUNTIF($E$53,"*B*")&gt;0,"B",""))</f>
        <v/>
      </c>
      <c r="H54" s="26"/>
      <c r="I54" s="26" t="str">
        <f>IF(SUM(B45:B49)=0,"",IF(COUNTIF($E$53,"*C*")&gt;0,"C",""))</f>
        <v/>
      </c>
      <c r="J54" s="26"/>
      <c r="K54" s="26" t="str">
        <f>IF(SUM(B45:B49)=0,"",IF(COUNTIF($E$53,"*D*")&gt;0,"D",""))</f>
        <v/>
      </c>
      <c r="L54" s="26"/>
      <c r="M54" s="26" t="str">
        <f>IF(SUM(B45:B49)=0,"",IF(COUNTIF($E$53,"*E*")&gt;0,"E",""))</f>
        <v/>
      </c>
      <c r="N54" s="26"/>
      <c r="O54" s="27" t="s">
        <v>171</v>
      </c>
      <c r="P54" s="27"/>
      <c r="Q54" s="27"/>
      <c r="R54" s="26" t="str">
        <f>IF(SUM(AF45:AF49)=0,"",IF(COUNTIF($R$53,"*A*")&gt;0,"A",""))</f>
        <v/>
      </c>
      <c r="S54" s="26"/>
      <c r="T54" s="26" t="str">
        <f>IF(SUM(AF45:AF49)=0,"",IF(COUNTIF($R$53,"*B*")&gt;0,"B",""))</f>
        <v/>
      </c>
      <c r="U54" s="26"/>
      <c r="V54" s="26" t="str">
        <f>IF(SUM(AF45:AF49)=0,"",IF(COUNTIF($R$53,"*C*")&gt;0,"C",""))</f>
        <v/>
      </c>
      <c r="W54" s="26"/>
      <c r="X54" s="26" t="str">
        <f>IF(SUM(AF45:AF49)=0,"",IF(COUNTIF($R$53,"*D*")&gt;0,"D",""))</f>
        <v/>
      </c>
      <c r="Y54" s="26"/>
      <c r="Z54" s="26" t="str">
        <f>IF(SUM(AF45:AF49)=0,"",IF(COUNTIF($R$53,"*E*")&gt;0,"E",""))</f>
        <v/>
      </c>
      <c r="AA54" s="26"/>
      <c r="AE54"/>
      <c r="AF54"/>
    </row>
    <row r="55" spans="1:36" ht="18" customHeight="1" x14ac:dyDescent="0.45">
      <c r="A55"/>
      <c r="B55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7"/>
      <c r="P55" s="27"/>
      <c r="Q55" s="27"/>
      <c r="R55" s="26"/>
      <c r="S55" s="26"/>
      <c r="T55" s="26"/>
      <c r="U55" s="26"/>
      <c r="V55" s="26"/>
      <c r="W55" s="26"/>
      <c r="X55" s="26"/>
      <c r="Y55" s="26"/>
      <c r="Z55" s="26"/>
      <c r="AA55" s="26"/>
      <c r="AE55"/>
      <c r="AF55"/>
    </row>
    <row r="56" spans="1:36" ht="18" customHeight="1" x14ac:dyDescent="0.45">
      <c r="A56"/>
      <c r="B56"/>
      <c r="C5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7"/>
      <c r="P56" s="27"/>
      <c r="Q56" s="27"/>
      <c r="R56" s="26"/>
      <c r="S56" s="26"/>
      <c r="T56" s="26"/>
      <c r="U56" s="26"/>
      <c r="V56" s="26"/>
      <c r="W56" s="26"/>
      <c r="X56" s="26"/>
      <c r="Y56" s="26"/>
      <c r="Z56" s="26"/>
      <c r="AA56" s="26"/>
      <c r="AE56"/>
      <c r="AF56"/>
      <c r="AG56"/>
    </row>
    <row r="57" spans="1:36" ht="18" customHeight="1" x14ac:dyDescent="0.45">
      <c r="A57" s="2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7"/>
      <c r="P57" s="27"/>
      <c r="Q57" s="27"/>
      <c r="R57" s="26"/>
      <c r="S57" s="26"/>
      <c r="T57" s="26"/>
      <c r="U57" s="26"/>
      <c r="V57" s="26"/>
      <c r="W57" s="26"/>
      <c r="X57" s="26"/>
      <c r="Y57" s="26"/>
      <c r="Z57" s="26"/>
      <c r="AA57" s="26"/>
      <c r="AE57" s="2"/>
    </row>
    <row r="58" spans="1:36" ht="18" customHeight="1" x14ac:dyDescent="0.45">
      <c r="A58" s="2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7"/>
      <c r="P58" s="27"/>
      <c r="Q58" s="27"/>
      <c r="R58" s="26"/>
      <c r="S58" s="26"/>
      <c r="T58" s="26"/>
      <c r="U58" s="26"/>
      <c r="V58" s="26"/>
      <c r="W58" s="26"/>
      <c r="X58" s="26"/>
      <c r="Y58" s="26"/>
      <c r="Z58" s="26"/>
      <c r="AA58" s="26"/>
      <c r="AE58" s="2"/>
    </row>
    <row r="59" spans="1:36" ht="18" customHeight="1" x14ac:dyDescent="0.45">
      <c r="A59" s="2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7"/>
      <c r="P59" s="27"/>
      <c r="Q59" s="27"/>
      <c r="R59" s="26"/>
      <c r="S59" s="26"/>
      <c r="T59" s="26"/>
      <c r="U59" s="26"/>
      <c r="V59" s="26"/>
      <c r="W59" s="26"/>
      <c r="X59" s="26"/>
      <c r="Y59" s="26"/>
      <c r="Z59" s="26"/>
      <c r="AA59" s="26"/>
      <c r="AE59" s="2"/>
    </row>
    <row r="60" spans="1:36" ht="18" customHeight="1" x14ac:dyDescent="0.45">
      <c r="A60" s="2"/>
      <c r="E60" s="26" t="str">
        <f>IF(SUM(B51:B55)=0,"",IF(COUNTIF($N$53,"*E*")&gt;0,"E",""))</f>
        <v/>
      </c>
      <c r="F60" s="26"/>
      <c r="G60" s="26" t="str">
        <f>IF(SUM(B51:B55)=0,"",IF(COUNTIF($N$53,"*D*")&gt;0,"D",""))</f>
        <v/>
      </c>
      <c r="H60" s="26"/>
      <c r="I60" s="26" t="str">
        <f>IF(SUM(B51:B55)=0,"",IF(COUNTIF($N$53,"*C*")&gt;0,"C",""))</f>
        <v/>
      </c>
      <c r="J60" s="26"/>
      <c r="K60" s="26" t="str">
        <f>IF(SUM(B51:B55)=0,"",IF(COUNTIF($N$53,"*B*")&gt;0,"B",""))</f>
        <v/>
      </c>
      <c r="L60" s="26"/>
      <c r="M60" s="26" t="str">
        <f>IF(SUM(B51:B55)=0,"",IF(COUNTIF($N$53,"*A*")&gt;0,"A",""))</f>
        <v/>
      </c>
      <c r="N60" s="26"/>
      <c r="O60" s="27" t="s">
        <v>172</v>
      </c>
      <c r="P60" s="27"/>
      <c r="Q60" s="27"/>
      <c r="R60" s="26" t="str">
        <f>IF(SUM(AF51:AF55)=0,"",IF(COUNTIF($AA$53,"*E*")&gt;0,"E",""))</f>
        <v/>
      </c>
      <c r="S60" s="26"/>
      <c r="T60" s="26" t="str">
        <f>IF(SUM(AF51:AF55)=0,"",IF(COUNTIF($AA$53,"*D*")&gt;0,"D",""))</f>
        <v/>
      </c>
      <c r="U60" s="26"/>
      <c r="V60" s="26" t="str">
        <f>IF(SUM(AF51:AF55)=0,"",IF(COUNTIF($AA$53,"*C*")&gt;0,"C",""))</f>
        <v/>
      </c>
      <c r="W60" s="26"/>
      <c r="X60" s="26" t="str">
        <f>IF(SUM(AF51:AF55)=0,"",IF(COUNTIF($AA$53,"*B*")&gt;0,"B",""))</f>
        <v/>
      </c>
      <c r="Y60" s="26"/>
      <c r="Z60" s="26" t="str">
        <f>IF(SUM(AF51:AF55)=0,"",IF(COUNTIF($AA$53,"*A*")&gt;0,"A",""))</f>
        <v/>
      </c>
      <c r="AA60" s="26"/>
      <c r="AE60" s="2"/>
    </row>
    <row r="61" spans="1:36" ht="18" customHeight="1" x14ac:dyDescent="0.45">
      <c r="A61" s="2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7"/>
      <c r="P61" s="27"/>
      <c r="Q61" s="27"/>
      <c r="R61" s="26"/>
      <c r="S61" s="26"/>
      <c r="T61" s="26"/>
      <c r="U61" s="26"/>
      <c r="V61" s="26"/>
      <c r="W61" s="26"/>
      <c r="X61" s="26"/>
      <c r="Y61" s="26"/>
      <c r="Z61" s="26"/>
      <c r="AA61" s="26"/>
      <c r="AE61" s="2"/>
    </row>
    <row r="62" spans="1:36" ht="18" customHeight="1" x14ac:dyDescent="0.45">
      <c r="A62" s="2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7"/>
      <c r="P62" s="27"/>
      <c r="Q62" s="27"/>
      <c r="R62" s="26"/>
      <c r="S62" s="26"/>
      <c r="T62" s="26"/>
      <c r="U62" s="26"/>
      <c r="V62" s="26"/>
      <c r="W62" s="26"/>
      <c r="X62" s="26"/>
      <c r="Y62" s="26"/>
      <c r="Z62" s="26"/>
      <c r="AA62" s="26"/>
      <c r="AE62" s="2"/>
    </row>
    <row r="63" spans="1:36" s="1" customFormat="1" ht="18" customHeight="1" x14ac:dyDescent="0.45">
      <c r="A63" s="2"/>
      <c r="D63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7"/>
      <c r="P63" s="27"/>
      <c r="Q63" s="27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/>
      <c r="AC63"/>
      <c r="AD63"/>
      <c r="AE63" s="2"/>
      <c r="AI63"/>
      <c r="AJ63"/>
    </row>
    <row r="64" spans="1:36" s="1" customFormat="1" ht="18" customHeight="1" x14ac:dyDescent="0.45">
      <c r="A64" s="2"/>
      <c r="D64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7"/>
      <c r="P64" s="27"/>
      <c r="Q64" s="27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/>
      <c r="AC64"/>
      <c r="AD64"/>
      <c r="AE64" s="2"/>
      <c r="AI64"/>
      <c r="AJ64"/>
    </row>
    <row r="65" spans="1:31" ht="18" customHeight="1" x14ac:dyDescent="0.45">
      <c r="A65" s="2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7"/>
      <c r="P65" s="27"/>
      <c r="Q65" s="27"/>
      <c r="R65" s="26"/>
      <c r="S65" s="26"/>
      <c r="T65" s="26"/>
      <c r="U65" s="26"/>
      <c r="V65" s="26"/>
      <c r="W65" s="26"/>
      <c r="X65" s="26"/>
      <c r="Y65" s="26"/>
      <c r="Z65" s="26"/>
      <c r="AA65" s="26"/>
      <c r="AE65" s="2"/>
    </row>
    <row r="67" spans="1:31" hidden="1" x14ac:dyDescent="0.45">
      <c r="E67" s="28" t="s">
        <v>175</v>
      </c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</row>
    <row r="68" spans="1:31" hidden="1" x14ac:dyDescent="0.45"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</row>
    <row r="69" spans="1:31" ht="18" hidden="1" customHeight="1" x14ac:dyDescent="0.45">
      <c r="E69" s="29" t="s">
        <v>176</v>
      </c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29"/>
    </row>
    <row r="70" spans="1:31" ht="18" hidden="1" customHeight="1" x14ac:dyDescent="0.45"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29"/>
    </row>
    <row r="71" spans="1:31" ht="18" hidden="1" customHeight="1" x14ac:dyDescent="0.45">
      <c r="E71" s="28" t="s">
        <v>177</v>
      </c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</row>
    <row r="72" spans="1:31" ht="18" hidden="1" customHeight="1" x14ac:dyDescent="0.45"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</row>
    <row r="73" spans="1:31" ht="18" hidden="1" customHeight="1" x14ac:dyDescent="0.45">
      <c r="E73" s="28" t="s">
        <v>173</v>
      </c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</row>
    <row r="74" spans="1:31" ht="18" hidden="1" customHeight="1" x14ac:dyDescent="0.45"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</row>
    <row r="75" spans="1:31" ht="18" hidden="1" customHeight="1" x14ac:dyDescent="0.45">
      <c r="E75" s="28" t="s">
        <v>174</v>
      </c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</row>
    <row r="76" spans="1:31" ht="18" hidden="1" customHeight="1" x14ac:dyDescent="0.45"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</row>
    <row r="77" spans="1:31" hidden="1" x14ac:dyDescent="0.45">
      <c r="E77" s="28" t="s">
        <v>178</v>
      </c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</row>
    <row r="78" spans="1:31" hidden="1" x14ac:dyDescent="0.45"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</row>
    <row r="84" spans="1:3" x14ac:dyDescent="0.45">
      <c r="A84" s="34" t="s">
        <v>14</v>
      </c>
      <c r="B84" s="35"/>
      <c r="C84" s="36"/>
    </row>
    <row r="85" spans="1:3" x14ac:dyDescent="0.45">
      <c r="A85" s="31" t="s">
        <v>4</v>
      </c>
      <c r="B85" s="30"/>
      <c r="C85" s="37"/>
    </row>
    <row r="86" spans="1:3" x14ac:dyDescent="0.45">
      <c r="A86" s="31" t="s">
        <v>3</v>
      </c>
      <c r="B86" s="30">
        <v>2</v>
      </c>
      <c r="C86" s="37"/>
    </row>
    <row r="87" spans="1:3" x14ac:dyDescent="0.45">
      <c r="A87" s="31" t="s">
        <v>2</v>
      </c>
      <c r="B87" s="30"/>
      <c r="C87" s="37"/>
    </row>
    <row r="88" spans="1:3" x14ac:dyDescent="0.45">
      <c r="A88" s="31" t="s">
        <v>1</v>
      </c>
      <c r="B88" s="30">
        <v>1</v>
      </c>
      <c r="C88" s="37"/>
    </row>
    <row r="89" spans="1:3" x14ac:dyDescent="0.45">
      <c r="A89" s="31" t="s">
        <v>0</v>
      </c>
      <c r="B89" s="30">
        <v>3</v>
      </c>
      <c r="C89" s="37"/>
    </row>
    <row r="90" spans="1:3" x14ac:dyDescent="0.45">
      <c r="A90" s="34" t="s">
        <v>13</v>
      </c>
      <c r="B90" s="35"/>
      <c r="C90" s="36"/>
    </row>
    <row r="91" spans="1:3" x14ac:dyDescent="0.45">
      <c r="A91" s="31" t="s">
        <v>4</v>
      </c>
      <c r="B91" s="30"/>
      <c r="C91" s="37"/>
    </row>
    <row r="92" spans="1:3" x14ac:dyDescent="0.45">
      <c r="A92" s="31" t="s">
        <v>3</v>
      </c>
      <c r="B92" s="30"/>
      <c r="C92" s="37"/>
    </row>
    <row r="93" spans="1:3" x14ac:dyDescent="0.45">
      <c r="A93" s="32" t="s">
        <v>2</v>
      </c>
      <c r="B93" s="33"/>
      <c r="C93" s="38"/>
    </row>
    <row r="94" spans="1:3" x14ac:dyDescent="0.45">
      <c r="A94" s="31" t="s">
        <v>1</v>
      </c>
      <c r="B94" s="30"/>
      <c r="C94" s="37"/>
    </row>
    <row r="95" spans="1:3" x14ac:dyDescent="0.45">
      <c r="A95" s="31" t="s">
        <v>0</v>
      </c>
      <c r="B95" s="30"/>
      <c r="C95" s="37"/>
    </row>
  </sheetData>
  <sheetProtection selectLockedCells="1"/>
  <mergeCells count="54">
    <mergeCell ref="A19:A23"/>
    <mergeCell ref="A24:A28"/>
    <mergeCell ref="AE19:AE23"/>
    <mergeCell ref="AE24:AE28"/>
    <mergeCell ref="E77:AA78"/>
    <mergeCell ref="E67:AA68"/>
    <mergeCell ref="E69:AA70"/>
    <mergeCell ref="E71:AA72"/>
    <mergeCell ref="E73:AA74"/>
    <mergeCell ref="E75:AA76"/>
    <mergeCell ref="O24:Q29"/>
    <mergeCell ref="O30:Q35"/>
    <mergeCell ref="O54:Q59"/>
    <mergeCell ref="O60:Q65"/>
    <mergeCell ref="E54:F59"/>
    <mergeCell ref="G54:H59"/>
    <mergeCell ref="G60:H65"/>
    <mergeCell ref="K60:L65"/>
    <mergeCell ref="M54:N59"/>
    <mergeCell ref="I54:J59"/>
    <mergeCell ref="E60:F65"/>
    <mergeCell ref="I60:J65"/>
    <mergeCell ref="M60:N65"/>
    <mergeCell ref="K54:L59"/>
    <mergeCell ref="E24:F29"/>
    <mergeCell ref="E30:F35"/>
    <mergeCell ref="Z54:AA59"/>
    <mergeCell ref="X60:Y65"/>
    <mergeCell ref="V54:W59"/>
    <mergeCell ref="T60:U65"/>
    <mergeCell ref="R54:S59"/>
    <mergeCell ref="Z60:AA65"/>
    <mergeCell ref="X54:Y59"/>
    <mergeCell ref="V60:W65"/>
    <mergeCell ref="T54:U59"/>
    <mergeCell ref="R60:S65"/>
    <mergeCell ref="G30:H35"/>
    <mergeCell ref="I30:J35"/>
    <mergeCell ref="K30:L35"/>
    <mergeCell ref="M30:N35"/>
    <mergeCell ref="M24:N29"/>
    <mergeCell ref="K24:L29"/>
    <mergeCell ref="I24:J29"/>
    <mergeCell ref="G24:H29"/>
    <mergeCell ref="R24:S29"/>
    <mergeCell ref="T24:U29"/>
    <mergeCell ref="V24:W29"/>
    <mergeCell ref="X24:Y29"/>
    <mergeCell ref="Z24:AA29"/>
    <mergeCell ref="Z30:AA35"/>
    <mergeCell ref="X30:Y35"/>
    <mergeCell ref="V30:W35"/>
    <mergeCell ref="T30:U35"/>
    <mergeCell ref="R30:S35"/>
  </mergeCells>
  <phoneticPr fontId="2"/>
  <conditionalFormatting sqref="E24">
    <cfRule type="expression" dxfId="75" priority="56">
      <formula>COUNTIF($E$23,"*A*")&gt;0</formula>
    </cfRule>
  </conditionalFormatting>
  <conditionalFormatting sqref="G24">
    <cfRule type="expression" dxfId="74" priority="55">
      <formula>COUNTIF($E$23,"*B*")&gt;0</formula>
    </cfRule>
  </conditionalFormatting>
  <conditionalFormatting sqref="I24">
    <cfRule type="expression" dxfId="73" priority="54">
      <formula>COUNTIF($E$23,"*C*")&gt;0</formula>
    </cfRule>
  </conditionalFormatting>
  <conditionalFormatting sqref="K24">
    <cfRule type="expression" dxfId="72" priority="53">
      <formula>COUNTIF($E$23,"*D*")&gt;0</formula>
    </cfRule>
  </conditionalFormatting>
  <conditionalFormatting sqref="M24">
    <cfRule type="expression" dxfId="71" priority="52">
      <formula>COUNTIF($E$23,"*E*")&gt;0</formula>
    </cfRule>
  </conditionalFormatting>
  <conditionalFormatting sqref="E30">
    <cfRule type="expression" dxfId="70" priority="51">
      <formula>COUNTIF($N$23,"*E*")&gt;0</formula>
    </cfRule>
  </conditionalFormatting>
  <conditionalFormatting sqref="G30">
    <cfRule type="expression" dxfId="69" priority="50">
      <formula>COUNTIF($N$23,"*D*")&gt;0</formula>
    </cfRule>
  </conditionalFormatting>
  <conditionalFormatting sqref="I30">
    <cfRule type="expression" dxfId="68" priority="49">
      <formula>COUNTIF($N$23,"*C*")&gt;0</formula>
    </cfRule>
  </conditionalFormatting>
  <conditionalFormatting sqref="K30">
    <cfRule type="expression" dxfId="67" priority="48">
      <formula>COUNTIF($N$23,"*B*")&gt;0</formula>
    </cfRule>
  </conditionalFormatting>
  <conditionalFormatting sqref="M30">
    <cfRule type="expression" dxfId="66" priority="47">
      <formula>COUNTIF($N$23,"*A*")&gt;0</formula>
    </cfRule>
  </conditionalFormatting>
  <conditionalFormatting sqref="R24">
    <cfRule type="expression" dxfId="65" priority="46">
      <formula>COUNTIF($R$23,"*A*")&gt;0</formula>
    </cfRule>
  </conditionalFormatting>
  <conditionalFormatting sqref="T24">
    <cfRule type="expression" dxfId="64" priority="45">
      <formula>COUNTIF($R$23,"*B*")&gt;0</formula>
    </cfRule>
  </conditionalFormatting>
  <conditionalFormatting sqref="X24">
    <cfRule type="expression" dxfId="63" priority="42">
      <formula>COUNTIF($R$23,"*D*")&gt;0</formula>
    </cfRule>
  </conditionalFormatting>
  <conditionalFormatting sqref="Z24">
    <cfRule type="expression" dxfId="62" priority="16">
      <formula>COUNTIF($R$23,"*E*")&gt;0</formula>
    </cfRule>
  </conditionalFormatting>
  <conditionalFormatting sqref="R30">
    <cfRule type="expression" dxfId="61" priority="41">
      <formula>COUNTIF($AA$23,"*E*")&gt;0</formula>
    </cfRule>
  </conditionalFormatting>
  <conditionalFormatting sqref="T30">
    <cfRule type="expression" dxfId="60" priority="40">
      <formula>COUNTIF($AA$23,"*D*")&gt;0</formula>
    </cfRule>
  </conditionalFormatting>
  <conditionalFormatting sqref="V30">
    <cfRule type="expression" dxfId="59" priority="39">
      <formula>COUNTIF($AA$23,"*C*")&gt;0</formula>
    </cfRule>
  </conditionalFormatting>
  <conditionalFormatting sqref="X30">
    <cfRule type="expression" dxfId="58" priority="38">
      <formula>COUNTIF($AA$23,"*B*")&gt;0</formula>
    </cfRule>
  </conditionalFormatting>
  <conditionalFormatting sqref="Z30">
    <cfRule type="expression" dxfId="57" priority="37">
      <formula>COUNTIF($AA$23,"*A*")&gt;0</formula>
    </cfRule>
  </conditionalFormatting>
  <conditionalFormatting sqref="E54">
    <cfRule type="expression" dxfId="56" priority="36">
      <formula>COUNTIF($E$53,"*A*")&gt;0</formula>
    </cfRule>
  </conditionalFormatting>
  <conditionalFormatting sqref="G54">
    <cfRule type="expression" dxfId="55" priority="35">
      <formula>COUNTIF($E$53,"*B*")&gt;0</formula>
    </cfRule>
  </conditionalFormatting>
  <conditionalFormatting sqref="I54">
    <cfRule type="expression" dxfId="54" priority="34">
      <formula>COUNTIF($E$53,"*C*")&gt;0</formula>
    </cfRule>
  </conditionalFormatting>
  <conditionalFormatting sqref="K54">
    <cfRule type="expression" dxfId="53" priority="33">
      <formula>COUNTIF($E$53,"*D*")&gt;0</formula>
    </cfRule>
  </conditionalFormatting>
  <conditionalFormatting sqref="M54">
    <cfRule type="expression" dxfId="52" priority="32">
      <formula>COUNTIF($E$53,"*E*")&gt;0</formula>
    </cfRule>
  </conditionalFormatting>
  <conditionalFormatting sqref="E60">
    <cfRule type="expression" dxfId="51" priority="31">
      <formula>COUNTIF($N$53,"*E*")&gt;0</formula>
    </cfRule>
  </conditionalFormatting>
  <conditionalFormatting sqref="G60">
    <cfRule type="expression" dxfId="50" priority="30">
      <formula>COUNTIF($N$53,"*D*")&gt;0</formula>
    </cfRule>
  </conditionalFormatting>
  <conditionalFormatting sqref="I60">
    <cfRule type="expression" dxfId="49" priority="29">
      <formula>COUNTIF($N$53,"*C*")&gt;0</formula>
    </cfRule>
  </conditionalFormatting>
  <conditionalFormatting sqref="K60">
    <cfRule type="expression" dxfId="48" priority="28">
      <formula>COUNTIF($N$53,"*B*")&gt;0</formula>
    </cfRule>
  </conditionalFormatting>
  <conditionalFormatting sqref="M60">
    <cfRule type="expression" dxfId="47" priority="27">
      <formula>COUNTIF($N$53,"*A*")&gt;0</formula>
    </cfRule>
  </conditionalFormatting>
  <conditionalFormatting sqref="E54:N59">
    <cfRule type="expression" dxfId="46" priority="20" stopIfTrue="1">
      <formula>SUM($B$45:$B$49)=0</formula>
    </cfRule>
  </conditionalFormatting>
  <conditionalFormatting sqref="E60:N65">
    <cfRule type="expression" dxfId="45" priority="19" stopIfTrue="1">
      <formula>SUM($B$51:$B$55)=0</formula>
    </cfRule>
  </conditionalFormatting>
  <conditionalFormatting sqref="R30:AA35">
    <cfRule type="expression" dxfId="44" priority="15" stopIfTrue="1">
      <formula>SUM($AF$22:$AF$26)=0</formula>
    </cfRule>
  </conditionalFormatting>
  <conditionalFormatting sqref="R60">
    <cfRule type="expression" dxfId="43" priority="14">
      <formula>COUNTIF($AA$53,"*E*")&gt;0</formula>
    </cfRule>
  </conditionalFormatting>
  <conditionalFormatting sqref="T60">
    <cfRule type="expression" dxfId="42" priority="13">
      <formula>COUNTIF($AA$53,"*D*")&gt;0</formula>
    </cfRule>
  </conditionalFormatting>
  <conditionalFormatting sqref="V60">
    <cfRule type="expression" dxfId="41" priority="12">
      <formula>COUNTIF($AA$53,"*C*")&gt;0</formula>
    </cfRule>
  </conditionalFormatting>
  <conditionalFormatting sqref="X60">
    <cfRule type="expression" dxfId="40" priority="11">
      <formula>COUNTIF($AA$53,"*B*")&gt;0</formula>
    </cfRule>
  </conditionalFormatting>
  <conditionalFormatting sqref="Z60">
    <cfRule type="expression" dxfId="39" priority="10">
      <formula>COUNTIF($AA$53,"*A*")&gt;0</formula>
    </cfRule>
  </conditionalFormatting>
  <conditionalFormatting sqref="R60:AA65">
    <cfRule type="expression" dxfId="38" priority="9" stopIfTrue="1">
      <formula>SUM($AF$51:$AF$55)=0</formula>
    </cfRule>
  </conditionalFormatting>
  <conditionalFormatting sqref="R54">
    <cfRule type="expression" dxfId="37" priority="8">
      <formula>COUNTIF($R$53,"*A*")&gt;0</formula>
    </cfRule>
  </conditionalFormatting>
  <conditionalFormatting sqref="T54">
    <cfRule type="expression" dxfId="36" priority="7">
      <formula>COUNTIF($R$53,"*B*")&gt;0</formula>
    </cfRule>
  </conditionalFormatting>
  <conditionalFormatting sqref="V54">
    <cfRule type="expression" dxfId="35" priority="6">
      <formula>COUNTIF($R$53,"*C*")&gt;0</formula>
    </cfRule>
  </conditionalFormatting>
  <conditionalFormatting sqref="X54">
    <cfRule type="expression" dxfId="34" priority="5">
      <formula>COUNTIF($R$53,"*D*")&gt;0</formula>
    </cfRule>
  </conditionalFormatting>
  <conditionalFormatting sqref="Z54">
    <cfRule type="expression" dxfId="33" priority="4">
      <formula>COUNTIF($R$53,"*E*")&gt;0</formula>
    </cfRule>
  </conditionalFormatting>
  <conditionalFormatting sqref="R54:AA59">
    <cfRule type="expression" dxfId="32" priority="3" stopIfTrue="1">
      <formula>SUM($AF$45:$AF$49)=0</formula>
    </cfRule>
  </conditionalFormatting>
  <conditionalFormatting sqref="V24">
    <cfRule type="expression" dxfId="31" priority="44">
      <formula>COUNTIF($R$23,"*C*")&gt;0</formula>
    </cfRule>
  </conditionalFormatting>
  <conditionalFormatting sqref="E24:N29">
    <cfRule type="expression" dxfId="30" priority="57" stopIfTrue="1">
      <formula>SUM($B$8:$B$12)=0</formula>
    </cfRule>
  </conditionalFormatting>
  <conditionalFormatting sqref="E30:N35">
    <cfRule type="expression" dxfId="29" priority="59" stopIfTrue="1">
      <formula>SUM($B$13:$B$17)=0</formula>
    </cfRule>
  </conditionalFormatting>
  <conditionalFormatting sqref="R24:AA29">
    <cfRule type="expression" dxfId="28" priority="60" stopIfTrue="1">
      <formula>SUM($AF$15:$AF$20)=0</formula>
    </cfRule>
  </conditionalFormatting>
  <dataValidations count="2">
    <dataValidation type="list" allowBlank="1" showInputMessage="1" showErrorMessage="1" sqref="F3" xr:uid="{DA1AC07F-C5B7-4994-86F2-3B68941BCB0B}">
      <formula1>"成形,塗装,モール"</formula1>
    </dataValidation>
    <dataValidation type="list" allowBlank="1" showInputMessage="1" showErrorMessage="1" sqref="U3" xr:uid="{1F809137-4EB3-4098-9FD9-C7E0FC84AA96}">
      <formula1>"SUSキズ,ウエルド,カス,ガス,キズ,ゴミ押し,シルバー,たれ,バリ･毛バリ,ヒケ,ピンホール,プライマー,マット,ムラ,ライン不良,異物,汚れ,加工キズ,糸引き,取出し不良,打出し不良,塗装はげ,塗装ひげ,塗装異物,塗装面汚い,塗料付着,投入キズ,粘着,油"</formula1>
    </dataValidation>
  </dataValidations>
  <printOptions horizontalCentered="1"/>
  <pageMargins left="0" right="0" top="0.78740157480314965" bottom="0" header="0.31496062992125984" footer="0.31496062992125984"/>
  <pageSetup paperSize="9" scale="57" orientation="portrait" r:id="rId2"/>
  <colBreaks count="1" manualBreakCount="1">
    <brk id="29" min="5" max="36" man="1"/>
  </colBreaks>
  <drawing r:id="rId3"/>
  <legacyDrawing r:id="rId4"/>
  <controls>
    <mc:AlternateContent xmlns:mc="http://schemas.openxmlformats.org/markup-compatibility/2006">
      <mc:Choice Requires="x14">
        <control shapeId="1026" r:id="rId5" name="CommandButton1">
          <controlPr defaultSize="0" autoLine="0" r:id="rId6">
            <anchor moveWithCells="1">
              <from>
                <xdr:col>8</xdr:col>
                <xdr:colOff>0</xdr:colOff>
                <xdr:row>0</xdr:row>
                <xdr:rowOff>45720</xdr:rowOff>
              </from>
              <to>
                <xdr:col>9</xdr:col>
                <xdr:colOff>320040</xdr:colOff>
                <xdr:row>1</xdr:row>
                <xdr:rowOff>121920</xdr:rowOff>
              </to>
            </anchor>
          </controlPr>
        </control>
      </mc:Choice>
      <mc:Fallback>
        <control shapeId="1026" r:id="rId5" name="CommandButton1"/>
      </mc:Fallback>
    </mc:AlternateContent>
    <mc:AlternateContent xmlns:mc="http://schemas.openxmlformats.org/markup-compatibility/2006">
      <mc:Choice Requires="x14">
        <control shapeId="1025" r:id="rId7" name="CommandButton2">
          <controlPr defaultSize="0" autoLine="0" r:id="rId8">
            <anchor moveWithCells="1">
              <from>
                <xdr:col>8</xdr:col>
                <xdr:colOff>0</xdr:colOff>
                <xdr:row>1</xdr:row>
                <xdr:rowOff>167640</xdr:rowOff>
              </from>
              <to>
                <xdr:col>9</xdr:col>
                <xdr:colOff>320040</xdr:colOff>
                <xdr:row>3</xdr:row>
                <xdr:rowOff>0</xdr:rowOff>
              </to>
            </anchor>
          </controlPr>
        </control>
      </mc:Choice>
      <mc:Fallback>
        <control shapeId="1025" r:id="rId7" name="CommandButton2"/>
      </mc:Fallback>
    </mc:AlternateContent>
    <mc:AlternateContent xmlns:mc="http://schemas.openxmlformats.org/markup-compatibility/2006">
      <mc:Choice Requires="x14">
        <control shapeId="1028" r:id="rId9" name="CommandButton3">
          <controlPr defaultSize="0" autoLine="0" r:id="rId10">
            <anchor moveWithCells="1">
              <from>
                <xdr:col>21</xdr:col>
                <xdr:colOff>167640</xdr:colOff>
                <xdr:row>1</xdr:row>
                <xdr:rowOff>167640</xdr:rowOff>
              </from>
              <to>
                <xdr:col>22</xdr:col>
                <xdr:colOff>487680</xdr:colOff>
                <xdr:row>3</xdr:row>
                <xdr:rowOff>0</xdr:rowOff>
              </to>
            </anchor>
          </controlPr>
        </control>
      </mc:Choice>
      <mc:Fallback>
        <control shapeId="1028" r:id="rId9" name="CommandButton3"/>
      </mc:Fallback>
    </mc:AlternateContent>
  </controls>
  <tableParts count="4">
    <tablePart r:id="rId11"/>
    <tablePart r:id="rId12"/>
    <tablePart r:id="rId13"/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B9D98-5575-4163-BA99-AE9F2B706872}">
  <sheetPr codeName="Sheet12"/>
  <dimension ref="A1:J78"/>
  <sheetViews>
    <sheetView zoomScale="80" zoomScaleNormal="80" workbookViewId="0">
      <selection activeCell="C79" sqref="C79"/>
    </sheetView>
  </sheetViews>
  <sheetFormatPr defaultRowHeight="18" x14ac:dyDescent="0.45"/>
  <cols>
    <col min="1" max="1" width="5.69921875" style="1" customWidth="1"/>
    <col min="2" max="2" width="5.69921875" style="18" customWidth="1"/>
    <col min="3" max="3" width="10.69921875" style="1" customWidth="1"/>
    <col min="4" max="4" width="9.69921875" style="18" customWidth="1"/>
    <col min="7" max="8" width="5.69921875" customWidth="1"/>
    <col min="9" max="9" width="10.69921875" customWidth="1"/>
    <col min="10" max="10" width="9.69921875" customWidth="1"/>
  </cols>
  <sheetData>
    <row r="1" spans="1:10" x14ac:dyDescent="0.45">
      <c r="A1" s="6" t="s">
        <v>170</v>
      </c>
      <c r="B1"/>
      <c r="C1"/>
      <c r="D1"/>
      <c r="G1" s="6" t="s">
        <v>189</v>
      </c>
    </row>
    <row r="2" spans="1:10" x14ac:dyDescent="0.45">
      <c r="A2"/>
      <c r="B2"/>
      <c r="C2"/>
      <c r="D2"/>
    </row>
    <row r="3" spans="1:10" s="19" customFormat="1" x14ac:dyDescent="0.45">
      <c r="A3" s="19" t="s">
        <v>21</v>
      </c>
      <c r="B3" s="19" t="s">
        <v>26</v>
      </c>
      <c r="C3" s="19" t="s">
        <v>169</v>
      </c>
      <c r="D3" s="19" t="s">
        <v>11</v>
      </c>
      <c r="G3" s="19" t="s">
        <v>21</v>
      </c>
      <c r="H3" s="19" t="s">
        <v>26</v>
      </c>
      <c r="I3" s="19" t="s">
        <v>169</v>
      </c>
      <c r="J3" s="19" t="s">
        <v>11</v>
      </c>
    </row>
    <row r="4" spans="1:10" x14ac:dyDescent="0.45">
      <c r="A4" s="1">
        <v>1</v>
      </c>
      <c r="B4" s="18" t="s">
        <v>52</v>
      </c>
      <c r="C4" s="1" t="s">
        <v>126</v>
      </c>
      <c r="D4" s="18" t="s">
        <v>101</v>
      </c>
      <c r="G4" s="1">
        <v>1</v>
      </c>
      <c r="H4" s="18" t="s">
        <v>52</v>
      </c>
      <c r="I4" s="1" t="s">
        <v>126</v>
      </c>
      <c r="J4" s="18" t="s">
        <v>101</v>
      </c>
    </row>
    <row r="5" spans="1:10" x14ac:dyDescent="0.45">
      <c r="A5" s="1">
        <v>2</v>
      </c>
      <c r="B5" s="18" t="s">
        <v>58</v>
      </c>
      <c r="C5" s="1" t="s">
        <v>168</v>
      </c>
      <c r="D5" s="18" t="s">
        <v>101</v>
      </c>
      <c r="G5" s="1">
        <v>2</v>
      </c>
      <c r="H5" s="18" t="s">
        <v>58</v>
      </c>
      <c r="I5" s="1" t="s">
        <v>168</v>
      </c>
      <c r="J5" s="18" t="s">
        <v>101</v>
      </c>
    </row>
    <row r="6" spans="1:10" x14ac:dyDescent="0.45">
      <c r="A6" s="1">
        <v>3</v>
      </c>
      <c r="B6" s="18" t="s">
        <v>59</v>
      </c>
      <c r="C6" s="1" t="s">
        <v>167</v>
      </c>
      <c r="D6" s="18" t="s">
        <v>101</v>
      </c>
      <c r="G6" s="1">
        <v>3</v>
      </c>
      <c r="H6" s="18" t="s">
        <v>59</v>
      </c>
      <c r="I6" s="1" t="s">
        <v>167</v>
      </c>
      <c r="J6" s="18" t="s">
        <v>101</v>
      </c>
    </row>
    <row r="7" spans="1:10" x14ac:dyDescent="0.45">
      <c r="A7" s="1">
        <v>4</v>
      </c>
      <c r="B7" s="18" t="s">
        <v>66</v>
      </c>
      <c r="C7" s="1" t="s">
        <v>166</v>
      </c>
      <c r="D7" s="18" t="s">
        <v>101</v>
      </c>
      <c r="G7" s="1">
        <v>4</v>
      </c>
      <c r="H7" s="18" t="s">
        <v>66</v>
      </c>
      <c r="I7" s="1" t="s">
        <v>166</v>
      </c>
      <c r="J7" s="18" t="s">
        <v>101</v>
      </c>
    </row>
    <row r="8" spans="1:10" x14ac:dyDescent="0.45">
      <c r="A8" s="1">
        <v>5</v>
      </c>
      <c r="B8" s="18" t="s">
        <v>64</v>
      </c>
      <c r="C8" s="1" t="s">
        <v>183</v>
      </c>
      <c r="D8" s="18" t="s">
        <v>101</v>
      </c>
      <c r="G8" s="1">
        <v>5</v>
      </c>
      <c r="H8" s="18" t="s">
        <v>64</v>
      </c>
      <c r="I8" s="1" t="s">
        <v>183</v>
      </c>
      <c r="J8" s="18" t="s">
        <v>101</v>
      </c>
    </row>
    <row r="9" spans="1:10" x14ac:dyDescent="0.45">
      <c r="A9" s="1">
        <v>6</v>
      </c>
      <c r="B9" s="18" t="s">
        <v>70</v>
      </c>
      <c r="C9" s="1" t="s">
        <v>165</v>
      </c>
      <c r="D9" s="18" t="s">
        <v>101</v>
      </c>
      <c r="G9" s="1">
        <v>6</v>
      </c>
      <c r="H9" s="18" t="s">
        <v>70</v>
      </c>
      <c r="I9" s="1" t="s">
        <v>165</v>
      </c>
      <c r="J9" s="18" t="s">
        <v>101</v>
      </c>
    </row>
    <row r="10" spans="1:10" x14ac:dyDescent="0.45">
      <c r="A10" s="1">
        <v>7</v>
      </c>
      <c r="B10" s="18" t="s">
        <v>72</v>
      </c>
      <c r="C10" s="1" t="s">
        <v>164</v>
      </c>
      <c r="D10" s="18" t="s">
        <v>101</v>
      </c>
      <c r="G10" s="1">
        <v>7</v>
      </c>
      <c r="H10" s="18" t="s">
        <v>72</v>
      </c>
      <c r="I10" s="1" t="s">
        <v>164</v>
      </c>
      <c r="J10" s="18" t="s">
        <v>101</v>
      </c>
    </row>
    <row r="11" spans="1:10" x14ac:dyDescent="0.45">
      <c r="A11" s="1">
        <v>8</v>
      </c>
      <c r="B11" s="18" t="s">
        <v>71</v>
      </c>
      <c r="C11" s="1" t="s">
        <v>163</v>
      </c>
      <c r="D11" s="18" t="s">
        <v>101</v>
      </c>
      <c r="G11" s="1">
        <v>8</v>
      </c>
      <c r="H11" s="18" t="s">
        <v>71</v>
      </c>
      <c r="I11" s="1" t="s">
        <v>163</v>
      </c>
      <c r="J11" s="18" t="s">
        <v>101</v>
      </c>
    </row>
    <row r="12" spans="1:10" x14ac:dyDescent="0.45">
      <c r="A12" s="1">
        <v>9</v>
      </c>
      <c r="B12" s="18" t="s">
        <v>92</v>
      </c>
      <c r="C12" s="1" t="s">
        <v>162</v>
      </c>
      <c r="D12" s="18" t="s">
        <v>101</v>
      </c>
      <c r="G12" s="1">
        <v>9</v>
      </c>
      <c r="H12" s="18" t="s">
        <v>92</v>
      </c>
      <c r="I12" s="1" t="s">
        <v>162</v>
      </c>
      <c r="J12" s="18" t="s">
        <v>101</v>
      </c>
    </row>
    <row r="13" spans="1:10" x14ac:dyDescent="0.45">
      <c r="A13" s="1">
        <v>10</v>
      </c>
      <c r="B13" s="18" t="s">
        <v>79</v>
      </c>
      <c r="C13" s="1" t="s">
        <v>161</v>
      </c>
      <c r="D13" s="18" t="s">
        <v>101</v>
      </c>
      <c r="G13" s="1">
        <v>10</v>
      </c>
      <c r="H13" s="18" t="s">
        <v>79</v>
      </c>
      <c r="I13" s="1" t="s">
        <v>161</v>
      </c>
      <c r="J13" s="18" t="s">
        <v>101</v>
      </c>
    </row>
    <row r="14" spans="1:10" x14ac:dyDescent="0.45">
      <c r="A14" s="1">
        <v>11</v>
      </c>
      <c r="B14" s="18" t="s">
        <v>87</v>
      </c>
      <c r="C14" s="1" t="s">
        <v>160</v>
      </c>
      <c r="D14" s="18" t="s">
        <v>101</v>
      </c>
      <c r="G14" s="1">
        <v>11</v>
      </c>
      <c r="H14" s="18" t="s">
        <v>87</v>
      </c>
      <c r="I14" s="1" t="s">
        <v>160</v>
      </c>
      <c r="J14" s="18" t="s">
        <v>101</v>
      </c>
    </row>
    <row r="15" spans="1:10" x14ac:dyDescent="0.45">
      <c r="A15" s="1">
        <v>12</v>
      </c>
      <c r="B15" s="18" t="s">
        <v>51</v>
      </c>
      <c r="C15" s="1" t="s">
        <v>159</v>
      </c>
      <c r="D15" s="18" t="s">
        <v>101</v>
      </c>
      <c r="G15" s="1">
        <v>12</v>
      </c>
      <c r="H15" s="18" t="s">
        <v>51</v>
      </c>
      <c r="I15" s="1" t="s">
        <v>159</v>
      </c>
      <c r="J15" s="18" t="s">
        <v>101</v>
      </c>
    </row>
    <row r="16" spans="1:10" x14ac:dyDescent="0.45">
      <c r="A16" s="1">
        <v>13</v>
      </c>
      <c r="B16" s="18" t="s">
        <v>78</v>
      </c>
      <c r="C16" s="1" t="s">
        <v>158</v>
      </c>
      <c r="D16" s="18" t="s">
        <v>101</v>
      </c>
      <c r="G16" s="1">
        <v>13</v>
      </c>
      <c r="H16" s="18" t="s">
        <v>78</v>
      </c>
      <c r="I16" s="1" t="s">
        <v>158</v>
      </c>
      <c r="J16" s="18" t="s">
        <v>101</v>
      </c>
    </row>
    <row r="17" spans="1:10" x14ac:dyDescent="0.45">
      <c r="A17" s="1">
        <v>14</v>
      </c>
      <c r="B17" s="18" t="s">
        <v>97</v>
      </c>
      <c r="C17" s="1" t="s">
        <v>117</v>
      </c>
      <c r="D17" s="18" t="s">
        <v>101</v>
      </c>
      <c r="G17" s="1">
        <v>14</v>
      </c>
      <c r="H17" s="18" t="s">
        <v>97</v>
      </c>
      <c r="I17" s="1" t="s">
        <v>117</v>
      </c>
      <c r="J17" s="18" t="s">
        <v>101</v>
      </c>
    </row>
    <row r="18" spans="1:10" x14ac:dyDescent="0.45">
      <c r="A18" s="1">
        <v>15</v>
      </c>
      <c r="B18" s="18" t="s">
        <v>73</v>
      </c>
      <c r="C18" s="1" t="s">
        <v>157</v>
      </c>
      <c r="D18" s="18" t="s">
        <v>101</v>
      </c>
      <c r="G18" s="1">
        <v>15</v>
      </c>
      <c r="H18" s="18" t="s">
        <v>73</v>
      </c>
      <c r="I18" s="1" t="s">
        <v>157</v>
      </c>
      <c r="J18" s="18" t="s">
        <v>101</v>
      </c>
    </row>
    <row r="19" spans="1:10" x14ac:dyDescent="0.45">
      <c r="A19" s="1">
        <v>16</v>
      </c>
      <c r="B19" s="18" t="s">
        <v>77</v>
      </c>
      <c r="C19" s="1" t="s">
        <v>156</v>
      </c>
      <c r="D19" s="18" t="s">
        <v>101</v>
      </c>
      <c r="G19" s="1">
        <v>16</v>
      </c>
      <c r="H19" s="18" t="s">
        <v>77</v>
      </c>
      <c r="I19" s="1" t="s">
        <v>156</v>
      </c>
      <c r="J19" s="18" t="s">
        <v>101</v>
      </c>
    </row>
    <row r="20" spans="1:10" x14ac:dyDescent="0.45">
      <c r="A20" s="1">
        <v>17</v>
      </c>
      <c r="B20" s="18" t="s">
        <v>81</v>
      </c>
      <c r="C20" s="1" t="s">
        <v>155</v>
      </c>
      <c r="D20" s="18" t="s">
        <v>101</v>
      </c>
      <c r="G20" s="1">
        <v>17</v>
      </c>
      <c r="H20" s="18" t="s">
        <v>81</v>
      </c>
      <c r="I20" s="1" t="s">
        <v>155</v>
      </c>
      <c r="J20" s="18" t="s">
        <v>101</v>
      </c>
    </row>
    <row r="21" spans="1:10" x14ac:dyDescent="0.45">
      <c r="A21" s="1">
        <v>18</v>
      </c>
      <c r="B21" s="18" t="s">
        <v>82</v>
      </c>
      <c r="C21" s="1" t="s">
        <v>154</v>
      </c>
      <c r="D21" s="18" t="s">
        <v>101</v>
      </c>
      <c r="G21" s="1">
        <v>18</v>
      </c>
      <c r="H21" s="18" t="s">
        <v>82</v>
      </c>
      <c r="I21" s="1" t="s">
        <v>154</v>
      </c>
      <c r="J21" s="18" t="s">
        <v>101</v>
      </c>
    </row>
    <row r="22" spans="1:10" x14ac:dyDescent="0.45">
      <c r="A22" s="1">
        <v>19</v>
      </c>
      <c r="B22" s="18" t="s">
        <v>83</v>
      </c>
      <c r="C22" s="1" t="s">
        <v>153</v>
      </c>
      <c r="D22" s="18" t="s">
        <v>101</v>
      </c>
      <c r="G22" s="1">
        <v>19</v>
      </c>
      <c r="H22" s="18" t="s">
        <v>83</v>
      </c>
      <c r="I22" s="1" t="s">
        <v>153</v>
      </c>
      <c r="J22" s="18" t="s">
        <v>101</v>
      </c>
    </row>
    <row r="23" spans="1:10" x14ac:dyDescent="0.45">
      <c r="A23" s="1">
        <v>20</v>
      </c>
      <c r="B23" s="18" t="s">
        <v>90</v>
      </c>
      <c r="C23" s="1" t="s">
        <v>125</v>
      </c>
      <c r="D23" s="18" t="s">
        <v>101</v>
      </c>
      <c r="G23" s="1">
        <v>20</v>
      </c>
      <c r="H23" s="18" t="s">
        <v>90</v>
      </c>
      <c r="I23" s="1" t="s">
        <v>125</v>
      </c>
      <c r="J23" s="18" t="s">
        <v>101</v>
      </c>
    </row>
    <row r="24" spans="1:10" x14ac:dyDescent="0.45">
      <c r="A24" s="1">
        <v>21</v>
      </c>
      <c r="B24" s="18" t="s">
        <v>94</v>
      </c>
      <c r="C24" s="1" t="s">
        <v>152</v>
      </c>
      <c r="D24" s="18" t="s">
        <v>101</v>
      </c>
      <c r="G24" s="1">
        <v>21</v>
      </c>
      <c r="H24" s="18" t="s">
        <v>94</v>
      </c>
      <c r="I24" s="1" t="s">
        <v>152</v>
      </c>
      <c r="J24" s="18" t="s">
        <v>101</v>
      </c>
    </row>
    <row r="25" spans="1:10" x14ac:dyDescent="0.45">
      <c r="A25" s="1">
        <v>22</v>
      </c>
      <c r="B25" s="18" t="s">
        <v>98</v>
      </c>
      <c r="C25" s="1" t="s">
        <v>151</v>
      </c>
      <c r="D25" s="18" t="s">
        <v>101</v>
      </c>
      <c r="G25" s="1">
        <v>22</v>
      </c>
      <c r="H25" s="18" t="s">
        <v>98</v>
      </c>
      <c r="I25" s="1" t="s">
        <v>151</v>
      </c>
      <c r="J25" s="18" t="s">
        <v>101</v>
      </c>
    </row>
    <row r="26" spans="1:10" x14ac:dyDescent="0.45">
      <c r="A26" s="1">
        <v>23</v>
      </c>
      <c r="B26" s="18" t="s">
        <v>96</v>
      </c>
      <c r="C26" s="1" t="s">
        <v>150</v>
      </c>
      <c r="D26" s="18" t="s">
        <v>101</v>
      </c>
      <c r="G26" s="1">
        <v>23</v>
      </c>
      <c r="H26" s="18" t="s">
        <v>96</v>
      </c>
      <c r="I26" s="1" t="s">
        <v>150</v>
      </c>
      <c r="J26" s="18" t="s">
        <v>101</v>
      </c>
    </row>
    <row r="27" spans="1:10" x14ac:dyDescent="0.45">
      <c r="A27" s="1">
        <v>24</v>
      </c>
      <c r="B27" s="18" t="s">
        <v>37</v>
      </c>
      <c r="C27" s="1" t="s">
        <v>126</v>
      </c>
      <c r="D27" s="18" t="s">
        <v>10</v>
      </c>
      <c r="G27" s="1">
        <v>24</v>
      </c>
      <c r="H27" s="18" t="s">
        <v>37</v>
      </c>
      <c r="I27" s="1" t="s">
        <v>126</v>
      </c>
      <c r="J27" s="18" t="s">
        <v>10</v>
      </c>
    </row>
    <row r="28" spans="1:10" x14ac:dyDescent="0.45">
      <c r="A28" s="1">
        <v>25</v>
      </c>
      <c r="B28" s="18" t="s">
        <v>60</v>
      </c>
      <c r="C28" s="1" t="s">
        <v>149</v>
      </c>
      <c r="D28" s="18" t="s">
        <v>10</v>
      </c>
      <c r="G28" s="1">
        <v>25</v>
      </c>
      <c r="H28" s="18" t="s">
        <v>60</v>
      </c>
      <c r="I28" s="1" t="s">
        <v>149</v>
      </c>
      <c r="J28" s="18" t="s">
        <v>10</v>
      </c>
    </row>
    <row r="29" spans="1:10" x14ac:dyDescent="0.45">
      <c r="A29" s="1">
        <v>26</v>
      </c>
      <c r="B29" s="18" t="s">
        <v>39</v>
      </c>
      <c r="C29" s="1" t="s">
        <v>148</v>
      </c>
      <c r="D29" s="18" t="s">
        <v>10</v>
      </c>
      <c r="G29" s="1">
        <v>26</v>
      </c>
      <c r="H29" s="18" t="s">
        <v>39</v>
      </c>
      <c r="I29" s="1" t="s">
        <v>148</v>
      </c>
      <c r="J29" s="18" t="s">
        <v>10</v>
      </c>
    </row>
    <row r="30" spans="1:10" x14ac:dyDescent="0.45">
      <c r="A30" s="1">
        <v>27</v>
      </c>
      <c r="B30" s="18" t="s">
        <v>40</v>
      </c>
      <c r="C30" s="1" t="s">
        <v>147</v>
      </c>
      <c r="D30" s="18" t="s">
        <v>10</v>
      </c>
      <c r="G30" s="1">
        <v>27</v>
      </c>
      <c r="H30" s="18" t="s">
        <v>40</v>
      </c>
      <c r="I30" s="1" t="s">
        <v>147</v>
      </c>
      <c r="J30" s="18" t="s">
        <v>10</v>
      </c>
    </row>
    <row r="31" spans="1:10" x14ac:dyDescent="0.45">
      <c r="A31" s="1">
        <v>28</v>
      </c>
      <c r="B31" s="18" t="s">
        <v>74</v>
      </c>
      <c r="C31" s="1" t="s">
        <v>146</v>
      </c>
      <c r="D31" s="18" t="s">
        <v>10</v>
      </c>
      <c r="G31" s="1">
        <v>28</v>
      </c>
      <c r="H31" s="18" t="s">
        <v>74</v>
      </c>
      <c r="I31" s="1" t="s">
        <v>146</v>
      </c>
      <c r="J31" s="18" t="s">
        <v>10</v>
      </c>
    </row>
    <row r="32" spans="1:10" x14ac:dyDescent="0.45">
      <c r="A32" s="1">
        <v>29</v>
      </c>
      <c r="B32" s="18" t="s">
        <v>62</v>
      </c>
      <c r="C32" s="1" t="s">
        <v>145</v>
      </c>
      <c r="D32" s="18" t="s">
        <v>10</v>
      </c>
      <c r="G32" s="1">
        <v>29</v>
      </c>
      <c r="H32" s="18" t="s">
        <v>62</v>
      </c>
      <c r="I32" s="1" t="s">
        <v>145</v>
      </c>
      <c r="J32" s="18" t="s">
        <v>10</v>
      </c>
    </row>
    <row r="33" spans="1:10" x14ac:dyDescent="0.45">
      <c r="A33" s="1">
        <v>30</v>
      </c>
      <c r="B33" s="18" t="s">
        <v>75</v>
      </c>
      <c r="C33" s="1" t="s">
        <v>144</v>
      </c>
      <c r="D33" s="18" t="s">
        <v>10</v>
      </c>
      <c r="G33" s="1">
        <v>30</v>
      </c>
      <c r="H33" s="18" t="s">
        <v>75</v>
      </c>
      <c r="I33" s="1" t="s">
        <v>144</v>
      </c>
      <c r="J33" s="18" t="s">
        <v>10</v>
      </c>
    </row>
    <row r="34" spans="1:10" x14ac:dyDescent="0.45">
      <c r="A34" s="1">
        <v>31</v>
      </c>
      <c r="B34" s="18" t="s">
        <v>38</v>
      </c>
      <c r="C34" s="1" t="s">
        <v>143</v>
      </c>
      <c r="D34" s="18" t="s">
        <v>10</v>
      </c>
      <c r="G34" s="1">
        <v>31</v>
      </c>
      <c r="H34" s="18" t="s">
        <v>38</v>
      </c>
      <c r="I34" s="1" t="s">
        <v>143</v>
      </c>
      <c r="J34" s="18" t="s">
        <v>10</v>
      </c>
    </row>
    <row r="35" spans="1:10" x14ac:dyDescent="0.45">
      <c r="A35" s="1">
        <v>32</v>
      </c>
      <c r="B35" s="18" t="s">
        <v>142</v>
      </c>
      <c r="C35" s="1" t="s">
        <v>141</v>
      </c>
      <c r="D35" s="18" t="s">
        <v>10</v>
      </c>
      <c r="G35" s="1">
        <v>32</v>
      </c>
      <c r="H35" s="18" t="s">
        <v>142</v>
      </c>
      <c r="I35" s="1" t="s">
        <v>141</v>
      </c>
      <c r="J35" s="18" t="s">
        <v>10</v>
      </c>
    </row>
    <row r="36" spans="1:10" x14ac:dyDescent="0.45">
      <c r="A36" s="1">
        <v>33</v>
      </c>
      <c r="B36" s="18" t="s">
        <v>61</v>
      </c>
      <c r="C36" s="1" t="s">
        <v>140</v>
      </c>
      <c r="D36" s="18" t="s">
        <v>10</v>
      </c>
      <c r="G36" s="1">
        <v>33</v>
      </c>
      <c r="H36" s="18" t="s">
        <v>61</v>
      </c>
      <c r="I36" s="1" t="s">
        <v>140</v>
      </c>
      <c r="J36" s="18" t="s">
        <v>10</v>
      </c>
    </row>
    <row r="37" spans="1:10" x14ac:dyDescent="0.45">
      <c r="A37" s="1">
        <v>34</v>
      </c>
      <c r="B37" s="18" t="s">
        <v>91</v>
      </c>
      <c r="C37" s="1" t="s">
        <v>139</v>
      </c>
      <c r="D37" s="18" t="s">
        <v>10</v>
      </c>
      <c r="G37" s="1">
        <v>34</v>
      </c>
      <c r="H37" s="18" t="s">
        <v>91</v>
      </c>
      <c r="I37" s="1" t="s">
        <v>139</v>
      </c>
      <c r="J37" s="18" t="s">
        <v>10</v>
      </c>
    </row>
    <row r="38" spans="1:10" x14ac:dyDescent="0.45">
      <c r="A38" s="1">
        <v>35</v>
      </c>
      <c r="B38" s="18" t="s">
        <v>56</v>
      </c>
      <c r="C38" s="1" t="s">
        <v>138</v>
      </c>
      <c r="D38" s="18" t="s">
        <v>10</v>
      </c>
      <c r="G38" s="1">
        <v>35</v>
      </c>
      <c r="H38" s="18" t="s">
        <v>56</v>
      </c>
      <c r="I38" s="1" t="s">
        <v>138</v>
      </c>
      <c r="J38" s="18" t="s">
        <v>10</v>
      </c>
    </row>
    <row r="39" spans="1:10" x14ac:dyDescent="0.45">
      <c r="A39" s="1">
        <v>36</v>
      </c>
      <c r="B39" s="18" t="s">
        <v>53</v>
      </c>
      <c r="C39" s="1" t="s">
        <v>125</v>
      </c>
      <c r="D39" s="18" t="s">
        <v>10</v>
      </c>
      <c r="G39" s="1">
        <v>36</v>
      </c>
      <c r="H39" s="18" t="s">
        <v>53</v>
      </c>
      <c r="I39" s="1" t="s">
        <v>125</v>
      </c>
      <c r="J39" s="18" t="s">
        <v>10</v>
      </c>
    </row>
    <row r="40" spans="1:10" x14ac:dyDescent="0.45">
      <c r="A40" s="1">
        <v>37</v>
      </c>
      <c r="B40" s="18" t="s">
        <v>63</v>
      </c>
      <c r="C40" s="1" t="s">
        <v>117</v>
      </c>
      <c r="D40" s="18" t="s">
        <v>10</v>
      </c>
      <c r="G40" s="1">
        <v>37</v>
      </c>
      <c r="H40" s="18" t="s">
        <v>63</v>
      </c>
      <c r="I40" s="1" t="s">
        <v>117</v>
      </c>
      <c r="J40" s="18" t="s">
        <v>10</v>
      </c>
    </row>
    <row r="41" spans="1:10" x14ac:dyDescent="0.45">
      <c r="A41" s="1">
        <v>38</v>
      </c>
      <c r="B41" s="18" t="s">
        <v>68</v>
      </c>
      <c r="C41" s="1" t="s">
        <v>137</v>
      </c>
      <c r="D41" s="18" t="s">
        <v>10</v>
      </c>
      <c r="G41" s="1">
        <v>38</v>
      </c>
      <c r="H41" s="18" t="s">
        <v>68</v>
      </c>
      <c r="I41" s="1" t="s">
        <v>137</v>
      </c>
      <c r="J41" s="18" t="s">
        <v>10</v>
      </c>
    </row>
    <row r="42" spans="1:10" x14ac:dyDescent="0.45">
      <c r="A42" s="1">
        <v>39</v>
      </c>
      <c r="B42" s="18" t="s">
        <v>80</v>
      </c>
      <c r="C42" s="1" t="s">
        <v>136</v>
      </c>
      <c r="D42" s="18" t="s">
        <v>10</v>
      </c>
      <c r="G42" s="1">
        <v>39</v>
      </c>
      <c r="H42" s="18" t="s">
        <v>80</v>
      </c>
      <c r="I42" s="1" t="s">
        <v>136</v>
      </c>
      <c r="J42" s="18" t="s">
        <v>10</v>
      </c>
    </row>
    <row r="43" spans="1:10" x14ac:dyDescent="0.45">
      <c r="A43" s="1">
        <v>40</v>
      </c>
      <c r="B43" s="18" t="s">
        <v>86</v>
      </c>
      <c r="C43" s="1" t="s">
        <v>135</v>
      </c>
      <c r="D43" s="18" t="s">
        <v>10</v>
      </c>
      <c r="G43" s="1">
        <v>40</v>
      </c>
      <c r="H43" s="18" t="s">
        <v>86</v>
      </c>
      <c r="I43" s="1" t="s">
        <v>135</v>
      </c>
      <c r="J43" s="18" t="s">
        <v>10</v>
      </c>
    </row>
    <row r="44" spans="1:10" x14ac:dyDescent="0.45">
      <c r="A44" s="1">
        <v>41</v>
      </c>
      <c r="B44" s="18" t="s">
        <v>88</v>
      </c>
      <c r="C44" s="1" t="s">
        <v>134</v>
      </c>
      <c r="D44" s="18" t="s">
        <v>10</v>
      </c>
      <c r="G44" s="1">
        <v>41</v>
      </c>
      <c r="H44" s="18" t="s">
        <v>88</v>
      </c>
      <c r="I44" s="1" t="s">
        <v>134</v>
      </c>
      <c r="J44" s="18" t="s">
        <v>10</v>
      </c>
    </row>
    <row r="45" spans="1:10" x14ac:dyDescent="0.45">
      <c r="A45" s="1">
        <v>42</v>
      </c>
      <c r="B45" s="18" t="s">
        <v>89</v>
      </c>
      <c r="C45" s="1" t="s">
        <v>133</v>
      </c>
      <c r="D45" s="18" t="s">
        <v>10</v>
      </c>
      <c r="G45" s="1">
        <v>42</v>
      </c>
      <c r="H45" s="18" t="s">
        <v>89</v>
      </c>
      <c r="I45" s="1" t="s">
        <v>133</v>
      </c>
      <c r="J45" s="18" t="s">
        <v>10</v>
      </c>
    </row>
    <row r="46" spans="1:10" x14ac:dyDescent="0.45">
      <c r="A46" s="1">
        <v>43</v>
      </c>
      <c r="B46" s="18" t="s">
        <v>103</v>
      </c>
      <c r="D46" s="18" t="s">
        <v>10</v>
      </c>
      <c r="G46" s="1">
        <v>43</v>
      </c>
      <c r="H46" s="18" t="s">
        <v>103</v>
      </c>
      <c r="I46" s="1"/>
      <c r="J46" s="18" t="s">
        <v>10</v>
      </c>
    </row>
    <row r="47" spans="1:10" x14ac:dyDescent="0.45">
      <c r="A47" s="1">
        <v>45</v>
      </c>
      <c r="B47" s="18" t="s">
        <v>47</v>
      </c>
      <c r="C47" s="1" t="s">
        <v>125</v>
      </c>
      <c r="D47" s="18" t="s">
        <v>100</v>
      </c>
      <c r="G47" s="1">
        <v>44</v>
      </c>
      <c r="H47" s="18" t="s">
        <v>45</v>
      </c>
      <c r="I47" s="1" t="s">
        <v>126</v>
      </c>
      <c r="J47" s="18" t="s">
        <v>100</v>
      </c>
    </row>
    <row r="48" spans="1:10" x14ac:dyDescent="0.45">
      <c r="A48" s="1">
        <v>46</v>
      </c>
      <c r="B48" s="18" t="s">
        <v>106</v>
      </c>
      <c r="C48" s="1" t="s">
        <v>132</v>
      </c>
      <c r="D48" s="18" t="s">
        <v>100</v>
      </c>
      <c r="G48" s="1">
        <v>45</v>
      </c>
      <c r="H48" s="18" t="s">
        <v>47</v>
      </c>
      <c r="I48" s="1" t="s">
        <v>125</v>
      </c>
      <c r="J48" s="18" t="s">
        <v>100</v>
      </c>
    </row>
    <row r="49" spans="1:10" x14ac:dyDescent="0.45">
      <c r="A49" s="1">
        <v>47</v>
      </c>
      <c r="B49" s="18" t="s">
        <v>107</v>
      </c>
      <c r="C49" s="1" t="s">
        <v>131</v>
      </c>
      <c r="D49" s="18" t="s">
        <v>100</v>
      </c>
      <c r="G49" s="1">
        <v>46</v>
      </c>
      <c r="H49" s="18" t="s">
        <v>106</v>
      </c>
      <c r="I49" s="1" t="s">
        <v>132</v>
      </c>
      <c r="J49" s="18" t="s">
        <v>100</v>
      </c>
    </row>
    <row r="50" spans="1:10" x14ac:dyDescent="0.45">
      <c r="A50" s="1">
        <v>48</v>
      </c>
      <c r="B50" s="18" t="s">
        <v>76</v>
      </c>
      <c r="C50" s="1" t="s">
        <v>130</v>
      </c>
      <c r="D50" s="18" t="s">
        <v>100</v>
      </c>
      <c r="G50" s="1">
        <v>47</v>
      </c>
      <c r="H50" s="18" t="s">
        <v>107</v>
      </c>
      <c r="I50" s="1" t="s">
        <v>131</v>
      </c>
      <c r="J50" s="18" t="s">
        <v>100</v>
      </c>
    </row>
    <row r="51" spans="1:10" x14ac:dyDescent="0.45">
      <c r="A51" s="1">
        <v>49</v>
      </c>
      <c r="B51" s="18" t="s">
        <v>85</v>
      </c>
      <c r="C51" s="1" t="s">
        <v>129</v>
      </c>
      <c r="D51" s="18" t="s">
        <v>100</v>
      </c>
      <c r="G51" s="1">
        <v>48</v>
      </c>
      <c r="H51" s="18" t="s">
        <v>76</v>
      </c>
      <c r="I51" s="1" t="s">
        <v>130</v>
      </c>
      <c r="J51" s="18" t="s">
        <v>100</v>
      </c>
    </row>
    <row r="52" spans="1:10" x14ac:dyDescent="0.45">
      <c r="A52" s="1">
        <v>51</v>
      </c>
      <c r="B52" s="18" t="s">
        <v>48</v>
      </c>
      <c r="C52" s="1" t="s">
        <v>127</v>
      </c>
      <c r="D52" s="18" t="s">
        <v>100</v>
      </c>
      <c r="G52" s="1">
        <v>49</v>
      </c>
      <c r="H52" s="18" t="s">
        <v>85</v>
      </c>
      <c r="I52" s="1" t="s">
        <v>129</v>
      </c>
      <c r="J52" s="18" t="s">
        <v>100</v>
      </c>
    </row>
    <row r="53" spans="1:10" x14ac:dyDescent="0.45">
      <c r="A53" s="1">
        <v>53</v>
      </c>
      <c r="B53" s="18" t="s">
        <v>102</v>
      </c>
      <c r="D53" s="18" t="s">
        <v>100</v>
      </c>
      <c r="G53" s="1">
        <v>50</v>
      </c>
      <c r="H53" s="18" t="s">
        <v>69</v>
      </c>
      <c r="I53" s="1" t="s">
        <v>128</v>
      </c>
      <c r="J53" s="18" t="s">
        <v>100</v>
      </c>
    </row>
    <row r="54" spans="1:10" x14ac:dyDescent="0.45">
      <c r="A54" s="1">
        <v>55</v>
      </c>
      <c r="B54" s="18" t="s">
        <v>3</v>
      </c>
      <c r="C54" s="1" t="s">
        <v>125</v>
      </c>
      <c r="D54" s="18" t="s">
        <v>99</v>
      </c>
      <c r="G54" s="1">
        <v>51</v>
      </c>
      <c r="H54" s="18" t="s">
        <v>48</v>
      </c>
      <c r="I54" s="1" t="s">
        <v>127</v>
      </c>
      <c r="J54" s="18" t="s">
        <v>100</v>
      </c>
    </row>
    <row r="55" spans="1:10" x14ac:dyDescent="0.45">
      <c r="A55" s="1">
        <v>56</v>
      </c>
      <c r="B55" s="18" t="s">
        <v>2</v>
      </c>
      <c r="C55" s="1" t="s">
        <v>124</v>
      </c>
      <c r="D55" s="18" t="s">
        <v>99</v>
      </c>
      <c r="G55" s="1">
        <v>52</v>
      </c>
      <c r="H55" s="18" t="s">
        <v>95</v>
      </c>
      <c r="I55" s="1" t="s">
        <v>117</v>
      </c>
      <c r="J55" s="18" t="s">
        <v>100</v>
      </c>
    </row>
    <row r="56" spans="1:10" x14ac:dyDescent="0.45">
      <c r="A56" s="1">
        <v>57</v>
      </c>
      <c r="B56" s="18" t="s">
        <v>1</v>
      </c>
      <c r="C56" s="1" t="s">
        <v>123</v>
      </c>
      <c r="D56" s="18" t="s">
        <v>99</v>
      </c>
      <c r="G56" s="1">
        <v>53</v>
      </c>
      <c r="H56" s="18" t="s">
        <v>102</v>
      </c>
      <c r="I56" s="1"/>
      <c r="J56" s="18" t="s">
        <v>100</v>
      </c>
    </row>
    <row r="57" spans="1:10" x14ac:dyDescent="0.45">
      <c r="A57" s="1">
        <v>58</v>
      </c>
      <c r="B57" s="18" t="s">
        <v>0</v>
      </c>
      <c r="C57" s="1" t="s">
        <v>122</v>
      </c>
      <c r="D57" s="18" t="s">
        <v>99</v>
      </c>
      <c r="G57" s="1">
        <v>54</v>
      </c>
      <c r="H57" s="18" t="s">
        <v>4</v>
      </c>
      <c r="I57" s="1" t="s">
        <v>126</v>
      </c>
      <c r="J57" s="18" t="s">
        <v>99</v>
      </c>
    </row>
    <row r="58" spans="1:10" x14ac:dyDescent="0.45">
      <c r="A58" s="1">
        <v>59</v>
      </c>
      <c r="B58" s="18" t="s">
        <v>121</v>
      </c>
      <c r="C58" s="1" t="s">
        <v>120</v>
      </c>
      <c r="D58" s="18" t="s">
        <v>99</v>
      </c>
      <c r="G58" s="1">
        <v>55</v>
      </c>
      <c r="H58" s="18" t="s">
        <v>3</v>
      </c>
      <c r="I58" s="1" t="s">
        <v>125</v>
      </c>
      <c r="J58" s="18" t="s">
        <v>99</v>
      </c>
    </row>
    <row r="59" spans="1:10" x14ac:dyDescent="0.45">
      <c r="A59" s="1">
        <v>60</v>
      </c>
      <c r="B59" s="18" t="s">
        <v>84</v>
      </c>
      <c r="C59" s="1" t="s">
        <v>127</v>
      </c>
      <c r="D59" s="18" t="s">
        <v>99</v>
      </c>
      <c r="G59" s="1">
        <v>56</v>
      </c>
      <c r="H59" s="18" t="s">
        <v>2</v>
      </c>
      <c r="I59" s="1" t="s">
        <v>124</v>
      </c>
      <c r="J59" s="18" t="s">
        <v>99</v>
      </c>
    </row>
    <row r="60" spans="1:10" x14ac:dyDescent="0.45">
      <c r="A60" s="1">
        <v>61</v>
      </c>
      <c r="B60" s="18" t="s">
        <v>67</v>
      </c>
      <c r="C60" s="1" t="s">
        <v>119</v>
      </c>
      <c r="D60" s="18" t="s">
        <v>99</v>
      </c>
      <c r="G60" s="1">
        <v>57</v>
      </c>
      <c r="H60" s="18" t="s">
        <v>1</v>
      </c>
      <c r="I60" s="1" t="s">
        <v>123</v>
      </c>
      <c r="J60" s="18" t="s">
        <v>99</v>
      </c>
    </row>
    <row r="61" spans="1:10" x14ac:dyDescent="0.45">
      <c r="A61" s="1">
        <v>62</v>
      </c>
      <c r="B61" s="18" t="s">
        <v>93</v>
      </c>
      <c r="C61" s="1" t="s">
        <v>118</v>
      </c>
      <c r="D61" s="18" t="s">
        <v>99</v>
      </c>
      <c r="G61" s="1">
        <v>58</v>
      </c>
      <c r="H61" s="18" t="s">
        <v>0</v>
      </c>
      <c r="I61" s="1" t="s">
        <v>122</v>
      </c>
      <c r="J61" s="18" t="s">
        <v>99</v>
      </c>
    </row>
    <row r="62" spans="1:10" x14ac:dyDescent="0.45">
      <c r="A62" s="1">
        <v>64</v>
      </c>
      <c r="B62" s="18" t="s">
        <v>36</v>
      </c>
      <c r="C62" s="1" t="s">
        <v>116</v>
      </c>
      <c r="D62" s="18" t="s">
        <v>99</v>
      </c>
      <c r="G62" s="1">
        <v>59</v>
      </c>
      <c r="H62" s="18" t="s">
        <v>121</v>
      </c>
      <c r="I62" s="1" t="s">
        <v>120</v>
      </c>
      <c r="J62" s="18" t="s">
        <v>99</v>
      </c>
    </row>
    <row r="63" spans="1:10" x14ac:dyDescent="0.45">
      <c r="A63" s="1">
        <v>66</v>
      </c>
      <c r="B63" s="18" t="s">
        <v>114</v>
      </c>
      <c r="C63" s="1" t="s">
        <v>179</v>
      </c>
      <c r="D63" s="18" t="s">
        <v>99</v>
      </c>
      <c r="G63" s="1">
        <v>60</v>
      </c>
      <c r="H63" s="18" t="s">
        <v>84</v>
      </c>
      <c r="I63" s="1" t="s">
        <v>127</v>
      </c>
      <c r="J63" s="18" t="s">
        <v>99</v>
      </c>
    </row>
    <row r="64" spans="1:10" x14ac:dyDescent="0.45">
      <c r="A64" s="1">
        <v>68</v>
      </c>
      <c r="B64" s="18" t="s">
        <v>112</v>
      </c>
      <c r="D64" s="18" t="s">
        <v>99</v>
      </c>
      <c r="G64" s="1">
        <v>61</v>
      </c>
      <c r="H64" s="18" t="s">
        <v>67</v>
      </c>
      <c r="I64" s="1" t="s">
        <v>119</v>
      </c>
      <c r="J64" s="18" t="s">
        <v>99</v>
      </c>
    </row>
    <row r="65" spans="1:10" x14ac:dyDescent="0.45">
      <c r="A65" s="1">
        <v>69</v>
      </c>
      <c r="B65" s="18" t="s">
        <v>111</v>
      </c>
      <c r="D65" s="18" t="s">
        <v>99</v>
      </c>
      <c r="G65" s="1">
        <v>62</v>
      </c>
      <c r="H65" s="18" t="s">
        <v>93</v>
      </c>
      <c r="I65" s="1" t="s">
        <v>118</v>
      </c>
      <c r="J65" s="18" t="s">
        <v>99</v>
      </c>
    </row>
    <row r="66" spans="1:10" x14ac:dyDescent="0.45">
      <c r="A66" s="1">
        <v>70</v>
      </c>
      <c r="B66" s="18" t="s">
        <v>57</v>
      </c>
      <c r="D66" s="18" t="s">
        <v>99</v>
      </c>
      <c r="G66" s="1">
        <v>63</v>
      </c>
      <c r="H66" s="18" t="s">
        <v>65</v>
      </c>
      <c r="I66" s="1" t="s">
        <v>117</v>
      </c>
      <c r="J66" s="18" t="s">
        <v>99</v>
      </c>
    </row>
    <row r="67" spans="1:10" x14ac:dyDescent="0.45">
      <c r="A67" s="1">
        <v>71</v>
      </c>
      <c r="B67" s="18" t="s">
        <v>55</v>
      </c>
      <c r="D67" s="18" t="s">
        <v>99</v>
      </c>
      <c r="G67" s="1">
        <v>64</v>
      </c>
      <c r="H67" s="18" t="s">
        <v>36</v>
      </c>
      <c r="I67" s="1" t="s">
        <v>116</v>
      </c>
      <c r="J67" s="18" t="s">
        <v>99</v>
      </c>
    </row>
    <row r="68" spans="1:10" x14ac:dyDescent="0.45">
      <c r="A68" s="1">
        <v>72</v>
      </c>
      <c r="B68" s="18" t="s">
        <v>110</v>
      </c>
      <c r="D68" s="18" t="s">
        <v>99</v>
      </c>
      <c r="G68" s="1">
        <v>65</v>
      </c>
      <c r="H68" s="18" t="s">
        <v>50</v>
      </c>
      <c r="I68" s="1" t="s">
        <v>115</v>
      </c>
      <c r="J68" s="18" t="s">
        <v>99</v>
      </c>
    </row>
    <row r="69" spans="1:10" x14ac:dyDescent="0.45">
      <c r="A69" s="1">
        <v>73</v>
      </c>
      <c r="B69" s="18" t="s">
        <v>109</v>
      </c>
      <c r="D69" s="18" t="s">
        <v>99</v>
      </c>
      <c r="G69" s="1">
        <v>66</v>
      </c>
      <c r="H69" s="18" t="s">
        <v>114</v>
      </c>
      <c r="I69" s="1" t="s">
        <v>179</v>
      </c>
      <c r="J69" s="18" t="s">
        <v>99</v>
      </c>
    </row>
    <row r="70" spans="1:10" x14ac:dyDescent="0.45">
      <c r="A70" s="1">
        <v>74</v>
      </c>
      <c r="B70" s="18" t="s">
        <v>108</v>
      </c>
      <c r="D70" s="18" t="s">
        <v>99</v>
      </c>
      <c r="G70" s="1">
        <v>67</v>
      </c>
      <c r="H70" s="18" t="s">
        <v>113</v>
      </c>
      <c r="I70" s="1" t="s">
        <v>180</v>
      </c>
      <c r="J70" s="18" t="s">
        <v>99</v>
      </c>
    </row>
    <row r="71" spans="1:10" x14ac:dyDescent="0.45">
      <c r="A71" s="1">
        <v>78</v>
      </c>
      <c r="B71" s="18" t="s">
        <v>45</v>
      </c>
      <c r="C71" s="1" t="s">
        <v>194</v>
      </c>
      <c r="D71" s="18" t="s">
        <v>100</v>
      </c>
      <c r="G71" s="1">
        <v>68</v>
      </c>
      <c r="H71" s="18" t="s">
        <v>112</v>
      </c>
      <c r="I71" s="1"/>
      <c r="J71" s="18" t="s">
        <v>99</v>
      </c>
    </row>
    <row r="72" spans="1:10" x14ac:dyDescent="0.45">
      <c r="A72" s="1">
        <v>79</v>
      </c>
      <c r="B72" s="18" t="s">
        <v>69</v>
      </c>
      <c r="C72" s="1" t="s">
        <v>119</v>
      </c>
      <c r="D72" s="18" t="s">
        <v>100</v>
      </c>
      <c r="G72" s="1">
        <v>69</v>
      </c>
      <c r="H72" s="18" t="s">
        <v>111</v>
      </c>
      <c r="I72" s="1"/>
      <c r="J72" s="18" t="s">
        <v>99</v>
      </c>
    </row>
    <row r="73" spans="1:10" x14ac:dyDescent="0.45">
      <c r="A73" s="1">
        <v>80</v>
      </c>
      <c r="B73" s="18" t="s">
        <v>95</v>
      </c>
      <c r="D73" s="18" t="s">
        <v>100</v>
      </c>
      <c r="G73" s="1">
        <v>70</v>
      </c>
      <c r="H73" s="18" t="s">
        <v>57</v>
      </c>
      <c r="I73" s="1"/>
      <c r="J73" s="18" t="s">
        <v>99</v>
      </c>
    </row>
    <row r="74" spans="1:10" x14ac:dyDescent="0.45">
      <c r="A74" s="1">
        <v>81</v>
      </c>
      <c r="B74" s="18" t="s">
        <v>4</v>
      </c>
      <c r="C74" s="1" t="s">
        <v>195</v>
      </c>
      <c r="D74" s="18" t="s">
        <v>99</v>
      </c>
      <c r="G74" s="1">
        <v>71</v>
      </c>
      <c r="H74" s="18" t="s">
        <v>55</v>
      </c>
      <c r="I74" s="1"/>
      <c r="J74" s="18" t="s">
        <v>99</v>
      </c>
    </row>
    <row r="75" spans="1:10" x14ac:dyDescent="0.45">
      <c r="A75" s="1">
        <v>82</v>
      </c>
      <c r="B75" s="18" t="s">
        <v>65</v>
      </c>
      <c r="D75" s="18" t="s">
        <v>99</v>
      </c>
      <c r="G75" s="1">
        <v>72</v>
      </c>
      <c r="H75" s="18" t="s">
        <v>110</v>
      </c>
      <c r="I75" s="1"/>
      <c r="J75" s="18" t="s">
        <v>99</v>
      </c>
    </row>
    <row r="76" spans="1:10" x14ac:dyDescent="0.45">
      <c r="A76" s="1">
        <v>83</v>
      </c>
      <c r="B76" s="18" t="s">
        <v>50</v>
      </c>
      <c r="D76" s="18" t="s">
        <v>99</v>
      </c>
      <c r="G76" s="1">
        <v>73</v>
      </c>
      <c r="H76" s="18" t="s">
        <v>109</v>
      </c>
      <c r="I76" s="1"/>
      <c r="J76" s="18" t="s">
        <v>99</v>
      </c>
    </row>
    <row r="77" spans="1:10" x14ac:dyDescent="0.45">
      <c r="A77" s="1">
        <v>84</v>
      </c>
      <c r="B77" s="18" t="s">
        <v>113</v>
      </c>
      <c r="D77" s="18" t="s">
        <v>99</v>
      </c>
      <c r="G77" s="1">
        <v>74</v>
      </c>
      <c r="H77" s="18" t="s">
        <v>108</v>
      </c>
      <c r="I77" s="1"/>
      <c r="J77" s="18" t="s">
        <v>99</v>
      </c>
    </row>
    <row r="78" spans="1:10" x14ac:dyDescent="0.45">
      <c r="B78" s="42"/>
      <c r="C78" s="43">
        <f>COUNTA(_番号ADO[モード])</f>
        <v>61</v>
      </c>
      <c r="D78" s="42"/>
    </row>
  </sheetData>
  <phoneticPr fontId="2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F9A37-05DC-4EDF-87F9-186C31417D12}">
  <sheetPr codeName="Sheet7"/>
  <dimension ref="A1:U5569"/>
  <sheetViews>
    <sheetView zoomScale="70" zoomScaleNormal="70" workbookViewId="0">
      <pane ySplit="4" topLeftCell="A96" activePane="bottomLeft" state="frozen"/>
      <selection activeCell="A2" sqref="A2"/>
      <selection pane="bottomLeft" activeCell="G108" sqref="G108"/>
    </sheetView>
  </sheetViews>
  <sheetFormatPr defaultColWidth="7.69921875" defaultRowHeight="18" x14ac:dyDescent="0.45"/>
  <cols>
    <col min="1" max="1" width="7.69921875" style="16" customWidth="1"/>
    <col min="2" max="19" width="7.69921875" style="1" customWidth="1"/>
    <col min="20" max="20" width="7.69921875" style="1"/>
    <col min="21" max="21" width="7.69921875" style="17"/>
    <col min="22" max="16384" width="7.69921875" style="1"/>
  </cols>
  <sheetData>
    <row r="1" spans="1:21" customFormat="1" ht="22.2" customHeight="1" x14ac:dyDescent="0.45">
      <c r="A1" s="6" t="s">
        <v>20</v>
      </c>
      <c r="U1" s="15" t="str" cm="1">
        <f t="array" ref="U1">IFERROR(INDEX(#REF!, SMALL(IF(#REF!="該当するロット情報なし", ROW(#REF!)-MIN(ROW(#REF!))+1), ROW(A1))), "")</f>
        <v/>
      </c>
    </row>
    <row r="2" spans="1:21" customFormat="1" x14ac:dyDescent="0.45">
      <c r="A2" s="6"/>
      <c r="U2" s="15" t="str" cm="1">
        <f t="array" ref="U2">IFERROR(INDEX(#REF!, SMALL(IF(#REF!="該当するロット情報なし", ROW(#REF!)-MIN(ROW(#REF!))+1), ROW(A2))), "")</f>
        <v/>
      </c>
    </row>
    <row r="3" spans="1:21" customFormat="1" x14ac:dyDescent="0.45">
      <c r="U3" s="15" t="str" cm="1">
        <f t="array" ref="U3">IFERROR(INDEX(#REF!, SMALL(IF(#REF!="該当するロット情報なし", ROW(#REF!)-MIN(ROW(#REF!))+1), ROW(A3))), "")</f>
        <v/>
      </c>
    </row>
    <row r="4" spans="1:21" x14ac:dyDescent="0.45">
      <c r="A4" t="s">
        <v>21</v>
      </c>
      <c r="B4" s="1" t="s">
        <v>12</v>
      </c>
      <c r="C4" s="1" t="s">
        <v>22</v>
      </c>
      <c r="D4" s="1" t="s">
        <v>23</v>
      </c>
      <c r="E4" s="1" t="s">
        <v>24</v>
      </c>
      <c r="F4" s="1" t="s">
        <v>25</v>
      </c>
      <c r="G4" s="1" t="s">
        <v>26</v>
      </c>
      <c r="H4" s="1" t="s">
        <v>27</v>
      </c>
      <c r="I4" t="s">
        <v>191</v>
      </c>
      <c r="J4" s="1" t="s">
        <v>28</v>
      </c>
      <c r="K4" s="1" t="s">
        <v>29</v>
      </c>
      <c r="L4" s="1" t="s">
        <v>30</v>
      </c>
      <c r="M4" s="1" t="s">
        <v>31</v>
      </c>
      <c r="N4" s="1" t="s">
        <v>32</v>
      </c>
      <c r="O4" s="1" t="s">
        <v>33</v>
      </c>
      <c r="P4" s="1" t="s">
        <v>34</v>
      </c>
      <c r="U4" s="1"/>
    </row>
    <row r="5" spans="1:21" x14ac:dyDescent="0.45">
      <c r="A5">
        <v>1</v>
      </c>
      <c r="B5" s="16">
        <v>46028</v>
      </c>
      <c r="C5" s="1" t="s">
        <v>54</v>
      </c>
      <c r="D5" s="1" t="s">
        <v>200</v>
      </c>
      <c r="E5" s="1" t="s">
        <v>57</v>
      </c>
      <c r="F5" s="1" t="s">
        <v>2</v>
      </c>
      <c r="G5" s="1" t="s">
        <v>72</v>
      </c>
      <c r="H5" s="1">
        <v>1</v>
      </c>
      <c r="I5">
        <v>0</v>
      </c>
      <c r="J5" s="1" t="str" cm="1">
        <f t="array" ref="J5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シルバー</v>
      </c>
      <c r="K5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シルバー</v>
      </c>
      <c r="L5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5" s="1" t="str" cm="1">
        <f t="array" ref="M5">_xlfn.XLOOKUP(TEXT(_不良集計ゾーン別ADO[[#This Row],[番号]],"@"),TEXT(_番号ADO[番号],"@"),_番号ADO[発生],"",0,1)</f>
        <v>成形</v>
      </c>
      <c r="N5" s="1" t="str">
        <f>_xlfn.IFS(MID(_不良集計ゾーン別ADO[[#This Row],[品番]],3,2)="Fr","Fr",MID(_不良集計ゾーン別ADO[[#This Row],[品番]],3,2)="Rr","Rr",TRUE,"")</f>
        <v>Fr</v>
      </c>
      <c r="O5" s="1" t="str">
        <f>IF(ISBLANK(_不良集計ゾーン別ADO[[#This Row],[品番]]),"",RIGHT(_不良集計ゾーン別ADO[[#This Row],[品番]],2))</f>
        <v>RH</v>
      </c>
      <c r="P5" s="1" t="str">
        <f>_xlfn.IFS(LEFT(_不良集計ゾーン別ADO[[#This Row],[品番]],2)="アル","アルヴェル",LEFT(_不良集計ゾーン別ADO[[#This Row],[品番]],2)="ノア","ノアヴォク",TRUE,"")</f>
        <v>アルヴェル</v>
      </c>
      <c r="U5" s="1"/>
    </row>
    <row r="6" spans="1:21" x14ac:dyDescent="0.45">
      <c r="A6">
        <v>2</v>
      </c>
      <c r="B6" s="16">
        <v>46028</v>
      </c>
      <c r="C6" s="1" t="s">
        <v>44</v>
      </c>
      <c r="D6" s="1" t="s">
        <v>182</v>
      </c>
      <c r="E6" s="1" t="s">
        <v>57</v>
      </c>
      <c r="F6" s="1" t="s">
        <v>2</v>
      </c>
      <c r="G6" s="1" t="s">
        <v>96</v>
      </c>
      <c r="H6" s="1">
        <v>7</v>
      </c>
      <c r="I6">
        <v>0</v>
      </c>
      <c r="J6" s="1" t="str" cm="1">
        <f t="array" ref="J6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打出し不良</v>
      </c>
      <c r="K6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打出し不良</v>
      </c>
      <c r="L6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6" s="1" t="str" cm="1">
        <f t="array" ref="M6">_xlfn.XLOOKUP(TEXT(_不良集計ゾーン別ADO[[#This Row],[番号]],"@"),TEXT(_番号ADO[番号],"@"),_番号ADO[発生],"",0,1)</f>
        <v>成形</v>
      </c>
      <c r="N6" s="1" t="str">
        <f>_xlfn.IFS(MID(_不良集計ゾーン別ADO[[#This Row],[品番]],3,2)="Fr","Fr",MID(_不良集計ゾーン別ADO[[#This Row],[品番]],3,2)="Rr","Rr",TRUE,"")</f>
        <v>Fr</v>
      </c>
      <c r="O6" s="1" t="str">
        <f>IF(ISBLANK(_不良集計ゾーン別ADO[[#This Row],[品番]]),"",RIGHT(_不良集計ゾーン別ADO[[#This Row],[品番]],2))</f>
        <v>LH</v>
      </c>
      <c r="P6" s="1" t="str">
        <f>_xlfn.IFS(LEFT(_不良集計ゾーン別ADO[[#This Row],[品番]],2)="アル","アルヴェル",LEFT(_不良集計ゾーン別ADO[[#This Row],[品番]],2)="ノア","ノアヴォク",TRUE,"")</f>
        <v>アルヴェル</v>
      </c>
      <c r="U6" s="1"/>
    </row>
    <row r="7" spans="1:21" x14ac:dyDescent="0.45">
      <c r="A7">
        <v>3</v>
      </c>
      <c r="B7" s="16">
        <v>46028</v>
      </c>
      <c r="C7" s="1" t="s">
        <v>44</v>
      </c>
      <c r="D7" s="1" t="s">
        <v>182</v>
      </c>
      <c r="E7" s="1" t="s">
        <v>57</v>
      </c>
      <c r="F7" s="1" t="s">
        <v>2</v>
      </c>
      <c r="G7" s="1" t="s">
        <v>72</v>
      </c>
      <c r="H7" s="1">
        <v>3</v>
      </c>
      <c r="I7">
        <v>0</v>
      </c>
      <c r="J7" s="1" t="str" cm="1">
        <f t="array" ref="J7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シルバー</v>
      </c>
      <c r="K7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シルバー</v>
      </c>
      <c r="L7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7" s="1" t="str" cm="1">
        <f t="array" ref="M7">_xlfn.XLOOKUP(TEXT(_不良集計ゾーン別ADO[[#This Row],[番号]],"@"),TEXT(_番号ADO[番号],"@"),_番号ADO[発生],"",0,1)</f>
        <v>成形</v>
      </c>
      <c r="N7" s="1" t="str">
        <f>_xlfn.IFS(MID(_不良集計ゾーン別ADO[[#This Row],[品番]],3,2)="Fr","Fr",MID(_不良集計ゾーン別ADO[[#This Row],[品番]],3,2)="Rr","Rr",TRUE,"")</f>
        <v>Fr</v>
      </c>
      <c r="O7" s="1" t="str">
        <f>IF(ISBLANK(_不良集計ゾーン別ADO[[#This Row],[品番]]),"",RIGHT(_不良集計ゾーン別ADO[[#This Row],[品番]],2))</f>
        <v>LH</v>
      </c>
      <c r="P7" s="1" t="str">
        <f>_xlfn.IFS(LEFT(_不良集計ゾーン別ADO[[#This Row],[品番]],2)="アル","アルヴェル",LEFT(_不良集計ゾーン別ADO[[#This Row],[品番]],2)="ノア","ノアヴォク",TRUE,"")</f>
        <v>アルヴェル</v>
      </c>
      <c r="U7" s="1"/>
    </row>
    <row r="8" spans="1:21" x14ac:dyDescent="0.45">
      <c r="A8">
        <v>4</v>
      </c>
      <c r="B8" s="16">
        <v>46028</v>
      </c>
      <c r="C8" s="1" t="s">
        <v>54</v>
      </c>
      <c r="D8" s="1" t="s">
        <v>182</v>
      </c>
      <c r="E8" s="1" t="s">
        <v>57</v>
      </c>
      <c r="F8" s="1" t="s">
        <v>2</v>
      </c>
      <c r="G8" s="1" t="s">
        <v>96</v>
      </c>
      <c r="H8" s="1">
        <v>7</v>
      </c>
      <c r="I8">
        <v>0</v>
      </c>
      <c r="J8" s="1" t="str" cm="1">
        <f t="array" ref="J8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打出し不良</v>
      </c>
      <c r="K8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打出し不良</v>
      </c>
      <c r="L8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8" s="1" t="str" cm="1">
        <f t="array" ref="M8">_xlfn.XLOOKUP(TEXT(_不良集計ゾーン別ADO[[#This Row],[番号]],"@"),TEXT(_番号ADO[番号],"@"),_番号ADO[発生],"",0,1)</f>
        <v>成形</v>
      </c>
      <c r="N8" s="1" t="str">
        <f>_xlfn.IFS(MID(_不良集計ゾーン別ADO[[#This Row],[品番]],3,2)="Fr","Fr",MID(_不良集計ゾーン別ADO[[#This Row],[品番]],3,2)="Rr","Rr",TRUE,"")</f>
        <v>Fr</v>
      </c>
      <c r="O8" s="1" t="str">
        <f>IF(ISBLANK(_不良集計ゾーン別ADO[[#This Row],[品番]]),"",RIGHT(_不良集計ゾーン別ADO[[#This Row],[品番]],2))</f>
        <v>RH</v>
      </c>
      <c r="P8" s="1" t="str">
        <f>_xlfn.IFS(LEFT(_不良集計ゾーン別ADO[[#This Row],[品番]],2)="アル","アルヴェル",LEFT(_不良集計ゾーン別ADO[[#This Row],[品番]],2)="ノア","ノアヴォク",TRUE,"")</f>
        <v>アルヴェル</v>
      </c>
      <c r="U8" s="1"/>
    </row>
    <row r="9" spans="1:21" x14ac:dyDescent="0.45">
      <c r="A9">
        <v>5</v>
      </c>
      <c r="B9" s="16">
        <v>46028</v>
      </c>
      <c r="C9" s="1" t="s">
        <v>54</v>
      </c>
      <c r="D9" s="1" t="s">
        <v>182</v>
      </c>
      <c r="E9" s="1" t="s">
        <v>57</v>
      </c>
      <c r="F9" s="1" t="s">
        <v>2</v>
      </c>
      <c r="G9" s="1" t="s">
        <v>72</v>
      </c>
      <c r="H9" s="1">
        <v>3</v>
      </c>
      <c r="I9">
        <v>0</v>
      </c>
      <c r="J9" s="1" t="str" cm="1">
        <f t="array" ref="J9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シルバー</v>
      </c>
      <c r="K9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シルバー</v>
      </c>
      <c r="L9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9" s="1" t="str" cm="1">
        <f t="array" ref="M9">_xlfn.XLOOKUP(TEXT(_不良集計ゾーン別ADO[[#This Row],[番号]],"@"),TEXT(_番号ADO[番号],"@"),_番号ADO[発生],"",0,1)</f>
        <v>成形</v>
      </c>
      <c r="N9" s="1" t="str">
        <f>_xlfn.IFS(MID(_不良集計ゾーン別ADO[[#This Row],[品番]],3,2)="Fr","Fr",MID(_不良集計ゾーン別ADO[[#This Row],[品番]],3,2)="Rr","Rr",TRUE,"")</f>
        <v>Fr</v>
      </c>
      <c r="O9" s="1" t="str">
        <f>IF(ISBLANK(_不良集計ゾーン別ADO[[#This Row],[品番]]),"",RIGHT(_不良集計ゾーン別ADO[[#This Row],[品番]],2))</f>
        <v>RH</v>
      </c>
      <c r="P9" s="1" t="str">
        <f>_xlfn.IFS(LEFT(_不良集計ゾーン別ADO[[#This Row],[品番]],2)="アル","アルヴェル",LEFT(_不良集計ゾーン別ADO[[#This Row],[品番]],2)="ノア","ノアヴォク",TRUE,"")</f>
        <v>アルヴェル</v>
      </c>
      <c r="U9" s="1"/>
    </row>
    <row r="10" spans="1:21" x14ac:dyDescent="0.45">
      <c r="A10">
        <v>6</v>
      </c>
      <c r="B10" s="16">
        <v>46028</v>
      </c>
      <c r="C10" s="1" t="s">
        <v>42</v>
      </c>
      <c r="D10" s="1" t="s">
        <v>80</v>
      </c>
      <c r="E10" s="1" t="s">
        <v>57</v>
      </c>
      <c r="F10" s="1" t="s">
        <v>2</v>
      </c>
      <c r="G10" s="1" t="s">
        <v>96</v>
      </c>
      <c r="H10" s="1">
        <v>4</v>
      </c>
      <c r="I10">
        <v>0</v>
      </c>
      <c r="J10" s="1" t="str" cm="1">
        <f t="array" ref="J10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打出し不良</v>
      </c>
      <c r="K10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打出し不良</v>
      </c>
      <c r="L10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10" s="1" t="str" cm="1">
        <f t="array" ref="M10">_xlfn.XLOOKUP(TEXT(_不良集計ゾーン別ADO[[#This Row],[番号]],"@"),TEXT(_番号ADO[番号],"@"),_番号ADO[発生],"",0,1)</f>
        <v>成形</v>
      </c>
      <c r="N10" s="1" t="str">
        <f>_xlfn.IFS(MID(_不良集計ゾーン別ADO[[#This Row],[品番]],3,2)="Fr","Fr",MID(_不良集計ゾーン別ADO[[#This Row],[品番]],3,2)="Rr","Rr",TRUE,"")</f>
        <v>Rr</v>
      </c>
      <c r="O10" s="1" t="str">
        <f>IF(ISBLANK(_不良集計ゾーン別ADO[[#This Row],[品番]]),"",RIGHT(_不良集計ゾーン別ADO[[#This Row],[品番]],2))</f>
        <v>LH</v>
      </c>
      <c r="P10" s="1" t="str">
        <f>_xlfn.IFS(LEFT(_不良集計ゾーン別ADO[[#This Row],[品番]],2)="アル","アルヴェル",LEFT(_不良集計ゾーン別ADO[[#This Row],[品番]],2)="ノア","ノアヴォク",TRUE,"")</f>
        <v>ノアヴォク</v>
      </c>
      <c r="U10" s="1"/>
    </row>
    <row r="11" spans="1:21" x14ac:dyDescent="0.45">
      <c r="A11">
        <v>7</v>
      </c>
      <c r="B11" s="16">
        <v>46028</v>
      </c>
      <c r="C11" s="1" t="s">
        <v>42</v>
      </c>
      <c r="D11" s="1" t="s">
        <v>80</v>
      </c>
      <c r="E11" s="1" t="s">
        <v>57</v>
      </c>
      <c r="F11" s="1" t="s">
        <v>3</v>
      </c>
      <c r="G11" s="1" t="s">
        <v>64</v>
      </c>
      <c r="H11" s="1">
        <v>1</v>
      </c>
      <c r="I11">
        <v>0</v>
      </c>
      <c r="J11" s="1" t="str" cm="1">
        <f t="array" ref="J11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ウエルド</v>
      </c>
      <c r="K11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ウエルド</v>
      </c>
      <c r="L11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11" s="1" t="str" cm="1">
        <f t="array" ref="M11">_xlfn.XLOOKUP(TEXT(_不良集計ゾーン別ADO[[#This Row],[番号]],"@"),TEXT(_番号ADO[番号],"@"),_番号ADO[発生],"",0,1)</f>
        <v>成形</v>
      </c>
      <c r="N11" s="1" t="str">
        <f>_xlfn.IFS(MID(_不良集計ゾーン別ADO[[#This Row],[品番]],3,2)="Fr","Fr",MID(_不良集計ゾーン別ADO[[#This Row],[品番]],3,2)="Rr","Rr",TRUE,"")</f>
        <v>Rr</v>
      </c>
      <c r="O11" s="1" t="str">
        <f>IF(ISBLANK(_不良集計ゾーン別ADO[[#This Row],[品番]]),"",RIGHT(_不良集計ゾーン別ADO[[#This Row],[品番]],2))</f>
        <v>LH</v>
      </c>
      <c r="P11" s="1" t="str">
        <f>_xlfn.IFS(LEFT(_不良集計ゾーン別ADO[[#This Row],[品番]],2)="アル","アルヴェル",LEFT(_不良集計ゾーン別ADO[[#This Row],[品番]],2)="ノア","ノアヴォク",TRUE,"")</f>
        <v>ノアヴォク</v>
      </c>
      <c r="U11" s="1"/>
    </row>
    <row r="12" spans="1:21" x14ac:dyDescent="0.45">
      <c r="A12">
        <v>8</v>
      </c>
      <c r="B12" s="16">
        <v>46028</v>
      </c>
      <c r="C12" s="1" t="s">
        <v>43</v>
      </c>
      <c r="D12" s="1" t="s">
        <v>80</v>
      </c>
      <c r="E12" s="1" t="s">
        <v>57</v>
      </c>
      <c r="F12" s="1" t="s">
        <v>2</v>
      </c>
      <c r="G12" s="1" t="s">
        <v>96</v>
      </c>
      <c r="H12" s="1">
        <v>4</v>
      </c>
      <c r="I12">
        <v>0</v>
      </c>
      <c r="J12" s="1" t="str" cm="1">
        <f t="array" ref="J12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打出し不良</v>
      </c>
      <c r="K12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打出し不良</v>
      </c>
      <c r="L12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12" s="1" t="str" cm="1">
        <f t="array" ref="M12">_xlfn.XLOOKUP(TEXT(_不良集計ゾーン別ADO[[#This Row],[番号]],"@"),TEXT(_番号ADO[番号],"@"),_番号ADO[発生],"",0,1)</f>
        <v>成形</v>
      </c>
      <c r="N12" s="1" t="str">
        <f>_xlfn.IFS(MID(_不良集計ゾーン別ADO[[#This Row],[品番]],3,2)="Fr","Fr",MID(_不良集計ゾーン別ADO[[#This Row],[品番]],3,2)="Rr","Rr",TRUE,"")</f>
        <v>Rr</v>
      </c>
      <c r="O12" s="1" t="str">
        <f>IF(ISBLANK(_不良集計ゾーン別ADO[[#This Row],[品番]]),"",RIGHT(_不良集計ゾーン別ADO[[#This Row],[品番]],2))</f>
        <v>RH</v>
      </c>
      <c r="P12" s="1" t="str">
        <f>_xlfn.IFS(LEFT(_不良集計ゾーン別ADO[[#This Row],[品番]],2)="アル","アルヴェル",LEFT(_不良集計ゾーン別ADO[[#This Row],[品番]],2)="ノア","ノアヴォク",TRUE,"")</f>
        <v>ノアヴォク</v>
      </c>
      <c r="U12" s="1"/>
    </row>
    <row r="13" spans="1:21" x14ac:dyDescent="0.45">
      <c r="A13">
        <v>9</v>
      </c>
      <c r="B13" s="16">
        <v>46028</v>
      </c>
      <c r="C13" s="1" t="s">
        <v>43</v>
      </c>
      <c r="D13" s="1" t="s">
        <v>80</v>
      </c>
      <c r="E13" s="1" t="s">
        <v>57</v>
      </c>
      <c r="F13" s="1" t="s">
        <v>4</v>
      </c>
      <c r="G13" s="1" t="s">
        <v>52</v>
      </c>
      <c r="H13" s="1">
        <v>1</v>
      </c>
      <c r="I13">
        <v>0</v>
      </c>
      <c r="J13" s="1" t="str" cm="1">
        <f t="array" ref="J13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13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13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13" s="1" t="str" cm="1">
        <f t="array" ref="M13">_xlfn.XLOOKUP(TEXT(_不良集計ゾーン別ADO[[#This Row],[番号]],"@"),TEXT(_番号ADO[番号],"@"),_番号ADO[発生],"",0,1)</f>
        <v>成形</v>
      </c>
      <c r="N13" s="1" t="str">
        <f>_xlfn.IFS(MID(_不良集計ゾーン別ADO[[#This Row],[品番]],3,2)="Fr","Fr",MID(_不良集計ゾーン別ADO[[#This Row],[品番]],3,2)="Rr","Rr",TRUE,"")</f>
        <v>Rr</v>
      </c>
      <c r="O13" s="1" t="str">
        <f>IF(ISBLANK(_不良集計ゾーン別ADO[[#This Row],[品番]]),"",RIGHT(_不良集計ゾーン別ADO[[#This Row],[品番]],2))</f>
        <v>RH</v>
      </c>
      <c r="P13" s="1" t="str">
        <f>_xlfn.IFS(LEFT(_不良集計ゾーン別ADO[[#This Row],[品番]],2)="アル","アルヴェル",LEFT(_不良集計ゾーン別ADO[[#This Row],[品番]],2)="ノア","ノアヴォク",TRUE,"")</f>
        <v>ノアヴォク</v>
      </c>
      <c r="U13" s="1"/>
    </row>
    <row r="14" spans="1:21" x14ac:dyDescent="0.45">
      <c r="A14">
        <v>10</v>
      </c>
      <c r="B14" s="16">
        <v>46028</v>
      </c>
      <c r="C14" s="1" t="s">
        <v>42</v>
      </c>
      <c r="D14" s="1" t="s">
        <v>86</v>
      </c>
      <c r="E14" s="1" t="s">
        <v>57</v>
      </c>
      <c r="F14" s="1" t="s">
        <v>2</v>
      </c>
      <c r="G14" s="1" t="s">
        <v>96</v>
      </c>
      <c r="H14" s="1">
        <v>3</v>
      </c>
      <c r="I14">
        <v>0</v>
      </c>
      <c r="J14" s="1" t="str" cm="1">
        <f t="array" ref="J14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打出し不良</v>
      </c>
      <c r="K14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打出し不良</v>
      </c>
      <c r="L14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14" s="1" t="str" cm="1">
        <f t="array" ref="M14">_xlfn.XLOOKUP(TEXT(_不良集計ゾーン別ADO[[#This Row],[番号]],"@"),TEXT(_番号ADO[番号],"@"),_番号ADO[発生],"",0,1)</f>
        <v>成形</v>
      </c>
      <c r="N14" s="1" t="str">
        <f>_xlfn.IFS(MID(_不良集計ゾーン別ADO[[#This Row],[品番]],3,2)="Fr","Fr",MID(_不良集計ゾーン別ADO[[#This Row],[品番]],3,2)="Rr","Rr",TRUE,"")</f>
        <v>Rr</v>
      </c>
      <c r="O14" s="1" t="str">
        <f>IF(ISBLANK(_不良集計ゾーン別ADO[[#This Row],[品番]]),"",RIGHT(_不良集計ゾーン別ADO[[#This Row],[品番]],2))</f>
        <v>LH</v>
      </c>
      <c r="P14" s="1" t="str">
        <f>_xlfn.IFS(LEFT(_不良集計ゾーン別ADO[[#This Row],[品番]],2)="アル","アルヴェル",LEFT(_不良集計ゾーン別ADO[[#This Row],[品番]],2)="ノア","ノアヴォク",TRUE,"")</f>
        <v>ノアヴォク</v>
      </c>
      <c r="U14" s="1"/>
    </row>
    <row r="15" spans="1:21" x14ac:dyDescent="0.45">
      <c r="A15">
        <v>11</v>
      </c>
      <c r="B15" s="16">
        <v>46028</v>
      </c>
      <c r="C15" s="1" t="s">
        <v>42</v>
      </c>
      <c r="D15" s="1" t="s">
        <v>86</v>
      </c>
      <c r="E15" s="1" t="s">
        <v>57</v>
      </c>
      <c r="F15" s="1" t="s">
        <v>1</v>
      </c>
      <c r="G15" s="1" t="s">
        <v>71</v>
      </c>
      <c r="H15" s="1">
        <v>1</v>
      </c>
      <c r="I15">
        <v>0</v>
      </c>
      <c r="J15" s="1" t="str" cm="1">
        <f t="array" ref="J15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糸引き</v>
      </c>
      <c r="K15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糸引き</v>
      </c>
      <c r="L15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15" s="1" t="str" cm="1">
        <f t="array" ref="M15">_xlfn.XLOOKUP(TEXT(_不良集計ゾーン別ADO[[#This Row],[番号]],"@"),TEXT(_番号ADO[番号],"@"),_番号ADO[発生],"",0,1)</f>
        <v>成形</v>
      </c>
      <c r="N15" s="1" t="str">
        <f>_xlfn.IFS(MID(_不良集計ゾーン別ADO[[#This Row],[品番]],3,2)="Fr","Fr",MID(_不良集計ゾーン別ADO[[#This Row],[品番]],3,2)="Rr","Rr",TRUE,"")</f>
        <v>Rr</v>
      </c>
      <c r="O15" s="1" t="str">
        <f>IF(ISBLANK(_不良集計ゾーン別ADO[[#This Row],[品番]]),"",RIGHT(_不良集計ゾーン別ADO[[#This Row],[品番]],2))</f>
        <v>LH</v>
      </c>
      <c r="P15" s="1" t="str">
        <f>_xlfn.IFS(LEFT(_不良集計ゾーン別ADO[[#This Row],[品番]],2)="アル","アルヴェル",LEFT(_不良集計ゾーン別ADO[[#This Row],[品番]],2)="ノア","ノアヴォク",TRUE,"")</f>
        <v>ノアヴォク</v>
      </c>
      <c r="U15" s="1"/>
    </row>
    <row r="16" spans="1:21" x14ac:dyDescent="0.45">
      <c r="A16">
        <v>12</v>
      </c>
      <c r="B16" s="16">
        <v>46028</v>
      </c>
      <c r="C16" s="1" t="s">
        <v>43</v>
      </c>
      <c r="D16" s="1" t="s">
        <v>86</v>
      </c>
      <c r="E16" s="1" t="s">
        <v>57</v>
      </c>
      <c r="F16" s="1" t="s">
        <v>2</v>
      </c>
      <c r="G16" s="1" t="s">
        <v>96</v>
      </c>
      <c r="H16" s="1">
        <v>3</v>
      </c>
      <c r="I16">
        <v>0</v>
      </c>
      <c r="J16" s="1" t="str" cm="1">
        <f t="array" ref="J16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打出し不良</v>
      </c>
      <c r="K16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打出し不良</v>
      </c>
      <c r="L16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16" s="1" t="str" cm="1">
        <f t="array" ref="M16">_xlfn.XLOOKUP(TEXT(_不良集計ゾーン別ADO[[#This Row],[番号]],"@"),TEXT(_番号ADO[番号],"@"),_番号ADO[発生],"",0,1)</f>
        <v>成形</v>
      </c>
      <c r="N16" s="1" t="str">
        <f>_xlfn.IFS(MID(_不良集計ゾーン別ADO[[#This Row],[品番]],3,2)="Fr","Fr",MID(_不良集計ゾーン別ADO[[#This Row],[品番]],3,2)="Rr","Rr",TRUE,"")</f>
        <v>Rr</v>
      </c>
      <c r="O16" s="1" t="str">
        <f>IF(ISBLANK(_不良集計ゾーン別ADO[[#This Row],[品番]]),"",RIGHT(_不良集計ゾーン別ADO[[#This Row],[品番]],2))</f>
        <v>RH</v>
      </c>
      <c r="P16" s="1" t="str">
        <f>_xlfn.IFS(LEFT(_不良集計ゾーン別ADO[[#This Row],[品番]],2)="アル","アルヴェル",LEFT(_不良集計ゾーン別ADO[[#This Row],[品番]],2)="ノア","ノアヴォク",TRUE,"")</f>
        <v>ノアヴォク</v>
      </c>
      <c r="U16" s="1"/>
    </row>
    <row r="17" spans="1:21" x14ac:dyDescent="0.45">
      <c r="A17">
        <v>13</v>
      </c>
      <c r="B17" s="16">
        <v>46028</v>
      </c>
      <c r="C17" s="1" t="s">
        <v>35</v>
      </c>
      <c r="D17" s="1" t="s">
        <v>80</v>
      </c>
      <c r="E17" s="1" t="s">
        <v>57</v>
      </c>
      <c r="F17" s="1" t="s">
        <v>2</v>
      </c>
      <c r="G17" s="1" t="s">
        <v>96</v>
      </c>
      <c r="H17" s="1">
        <v>5</v>
      </c>
      <c r="I17">
        <v>0</v>
      </c>
      <c r="J17" s="1" t="str" cm="1">
        <f t="array" ref="J17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打出し不良</v>
      </c>
      <c r="K17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打出し不良</v>
      </c>
      <c r="L17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17" s="1" t="str" cm="1">
        <f t="array" ref="M17">_xlfn.XLOOKUP(TEXT(_不良集計ゾーン別ADO[[#This Row],[番号]],"@"),TEXT(_番号ADO[番号],"@"),_番号ADO[発生],"",0,1)</f>
        <v>成形</v>
      </c>
      <c r="N17" s="1" t="str">
        <f>_xlfn.IFS(MID(_不良集計ゾーン別ADO[[#This Row],[品番]],3,2)="Fr","Fr",MID(_不良集計ゾーン別ADO[[#This Row],[品番]],3,2)="Rr","Rr",TRUE,"")</f>
        <v>Fr</v>
      </c>
      <c r="O17" s="1" t="str">
        <f>IF(ISBLANK(_不良集計ゾーン別ADO[[#This Row],[品番]]),"",RIGHT(_不良集計ゾーン別ADO[[#This Row],[品番]],2))</f>
        <v>LH</v>
      </c>
      <c r="P17" s="1" t="str">
        <f>_xlfn.IFS(LEFT(_不良集計ゾーン別ADO[[#This Row],[品番]],2)="アル","アルヴェル",LEFT(_不良集計ゾーン別ADO[[#This Row],[品番]],2)="ノア","ノアヴォク",TRUE,"")</f>
        <v>ノアヴォク</v>
      </c>
      <c r="U17" s="1"/>
    </row>
    <row r="18" spans="1:21" x14ac:dyDescent="0.45">
      <c r="A18">
        <v>14</v>
      </c>
      <c r="B18" s="16">
        <v>46028</v>
      </c>
      <c r="C18" s="1" t="s">
        <v>35</v>
      </c>
      <c r="D18" s="1" t="s">
        <v>80</v>
      </c>
      <c r="E18" s="1" t="s">
        <v>57</v>
      </c>
      <c r="F18" s="1" t="s">
        <v>2</v>
      </c>
      <c r="G18" s="1" t="s">
        <v>64</v>
      </c>
      <c r="H18" s="1">
        <v>1</v>
      </c>
      <c r="I18">
        <v>0</v>
      </c>
      <c r="J18" s="1" t="str" cm="1">
        <f t="array" ref="J18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ウエルド</v>
      </c>
      <c r="K18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ウエルド</v>
      </c>
      <c r="L18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18" s="1" t="str" cm="1">
        <f t="array" ref="M18">_xlfn.XLOOKUP(TEXT(_不良集計ゾーン別ADO[[#This Row],[番号]],"@"),TEXT(_番号ADO[番号],"@"),_番号ADO[発生],"",0,1)</f>
        <v>成形</v>
      </c>
      <c r="N18" s="1" t="str">
        <f>_xlfn.IFS(MID(_不良集計ゾーン別ADO[[#This Row],[品番]],3,2)="Fr","Fr",MID(_不良集計ゾーン別ADO[[#This Row],[品番]],3,2)="Rr","Rr",TRUE,"")</f>
        <v>Fr</v>
      </c>
      <c r="O18" s="1" t="str">
        <f>IF(ISBLANK(_不良集計ゾーン別ADO[[#This Row],[品番]]),"",RIGHT(_不良集計ゾーン別ADO[[#This Row],[品番]],2))</f>
        <v>LH</v>
      </c>
      <c r="P18" s="1" t="str">
        <f>_xlfn.IFS(LEFT(_不良集計ゾーン別ADO[[#This Row],[品番]],2)="アル","アルヴェル",LEFT(_不良集計ゾーン別ADO[[#This Row],[品番]],2)="ノア","ノアヴォク",TRUE,"")</f>
        <v>ノアヴォク</v>
      </c>
      <c r="U18" s="1"/>
    </row>
    <row r="19" spans="1:21" x14ac:dyDescent="0.45">
      <c r="A19">
        <v>15</v>
      </c>
      <c r="B19" s="16">
        <v>46028</v>
      </c>
      <c r="C19" s="1" t="s">
        <v>35</v>
      </c>
      <c r="D19" s="1" t="s">
        <v>80</v>
      </c>
      <c r="E19" s="1" t="s">
        <v>57</v>
      </c>
      <c r="F19" s="1" t="s">
        <v>4</v>
      </c>
      <c r="G19" s="1" t="s">
        <v>64</v>
      </c>
      <c r="H19" s="1">
        <v>1</v>
      </c>
      <c r="I19">
        <v>0</v>
      </c>
      <c r="J19" s="1" t="str" cm="1">
        <f t="array" ref="J19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ウエルド</v>
      </c>
      <c r="K19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ウエルド</v>
      </c>
      <c r="L19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19" s="1" t="str" cm="1">
        <f t="array" ref="M19">_xlfn.XLOOKUP(TEXT(_不良集計ゾーン別ADO[[#This Row],[番号]],"@"),TEXT(_番号ADO[番号],"@"),_番号ADO[発生],"",0,1)</f>
        <v>成形</v>
      </c>
      <c r="N19" s="1" t="str">
        <f>_xlfn.IFS(MID(_不良集計ゾーン別ADO[[#This Row],[品番]],3,2)="Fr","Fr",MID(_不良集計ゾーン別ADO[[#This Row],[品番]],3,2)="Rr","Rr",TRUE,"")</f>
        <v>Fr</v>
      </c>
      <c r="O19" s="1" t="str">
        <f>IF(ISBLANK(_不良集計ゾーン別ADO[[#This Row],[品番]]),"",RIGHT(_不良集計ゾーン別ADO[[#This Row],[品番]],2))</f>
        <v>LH</v>
      </c>
      <c r="P19" s="1" t="str">
        <f>_xlfn.IFS(LEFT(_不良集計ゾーン別ADO[[#This Row],[品番]],2)="アル","アルヴェル",LEFT(_不良集計ゾーン別ADO[[#This Row],[品番]],2)="ノア","ノアヴォク",TRUE,"")</f>
        <v>ノアヴォク</v>
      </c>
      <c r="U19" s="1"/>
    </row>
    <row r="20" spans="1:21" x14ac:dyDescent="0.45">
      <c r="A20">
        <v>16</v>
      </c>
      <c r="B20" s="16">
        <v>46028</v>
      </c>
      <c r="C20" s="1" t="s">
        <v>41</v>
      </c>
      <c r="D20" s="1" t="s">
        <v>80</v>
      </c>
      <c r="E20" s="1" t="s">
        <v>57</v>
      </c>
      <c r="F20" s="1" t="s">
        <v>0</v>
      </c>
      <c r="G20" s="1" t="s">
        <v>52</v>
      </c>
      <c r="H20" s="1">
        <v>2</v>
      </c>
      <c r="I20">
        <v>0</v>
      </c>
      <c r="J20" s="1" t="str" cm="1">
        <f t="array" ref="J20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20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20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20" s="1" t="str" cm="1">
        <f t="array" ref="M20">_xlfn.XLOOKUP(TEXT(_不良集計ゾーン別ADO[[#This Row],[番号]],"@"),TEXT(_番号ADO[番号],"@"),_番号ADO[発生],"",0,1)</f>
        <v>成形</v>
      </c>
      <c r="N20" s="1" t="str">
        <f>_xlfn.IFS(MID(_不良集計ゾーン別ADO[[#This Row],[品番]],3,2)="Fr","Fr",MID(_不良集計ゾーン別ADO[[#This Row],[品番]],3,2)="Rr","Rr",TRUE,"")</f>
        <v>Fr</v>
      </c>
      <c r="O20" s="1" t="str">
        <f>IF(ISBLANK(_不良集計ゾーン別ADO[[#This Row],[品番]]),"",RIGHT(_不良集計ゾーン別ADO[[#This Row],[品番]],2))</f>
        <v>RH</v>
      </c>
      <c r="P20" s="1" t="str">
        <f>_xlfn.IFS(LEFT(_不良集計ゾーン別ADO[[#This Row],[品番]],2)="アル","アルヴェル",LEFT(_不良集計ゾーン別ADO[[#This Row],[品番]],2)="ノア","ノアヴォク",TRUE,"")</f>
        <v>ノアヴォク</v>
      </c>
      <c r="U20" s="1"/>
    </row>
    <row r="21" spans="1:21" x14ac:dyDescent="0.45">
      <c r="A21">
        <v>17</v>
      </c>
      <c r="B21" s="16">
        <v>46028</v>
      </c>
      <c r="C21" s="1" t="s">
        <v>41</v>
      </c>
      <c r="D21" s="1" t="s">
        <v>80</v>
      </c>
      <c r="E21" s="1" t="s">
        <v>57</v>
      </c>
      <c r="F21" s="1" t="s">
        <v>1</v>
      </c>
      <c r="G21" s="1" t="s">
        <v>58</v>
      </c>
      <c r="H21" s="1">
        <v>1</v>
      </c>
      <c r="I21">
        <v>0</v>
      </c>
      <c r="J21" s="1" t="str" cm="1">
        <f t="array" ref="J21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ゴミ押し</v>
      </c>
      <c r="K21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ゴミ押し</v>
      </c>
      <c r="L21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21" s="1" t="str" cm="1">
        <f t="array" ref="M21">_xlfn.XLOOKUP(TEXT(_不良集計ゾーン別ADO[[#This Row],[番号]],"@"),TEXT(_番号ADO[番号],"@"),_番号ADO[発生],"",0,1)</f>
        <v>成形</v>
      </c>
      <c r="N21" s="1" t="str">
        <f>_xlfn.IFS(MID(_不良集計ゾーン別ADO[[#This Row],[品番]],3,2)="Fr","Fr",MID(_不良集計ゾーン別ADO[[#This Row],[品番]],3,2)="Rr","Rr",TRUE,"")</f>
        <v>Fr</v>
      </c>
      <c r="O21" s="1" t="str">
        <f>IF(ISBLANK(_不良集計ゾーン別ADO[[#This Row],[品番]]),"",RIGHT(_不良集計ゾーン別ADO[[#This Row],[品番]],2))</f>
        <v>RH</v>
      </c>
      <c r="P21" s="1" t="str">
        <f>_xlfn.IFS(LEFT(_不良集計ゾーン別ADO[[#This Row],[品番]],2)="アル","アルヴェル",LEFT(_不良集計ゾーン別ADO[[#This Row],[品番]],2)="ノア","ノアヴォク",TRUE,"")</f>
        <v>ノアヴォク</v>
      </c>
      <c r="U21" s="1"/>
    </row>
    <row r="22" spans="1:21" x14ac:dyDescent="0.45">
      <c r="A22">
        <v>18</v>
      </c>
      <c r="B22" s="16">
        <v>46028</v>
      </c>
      <c r="C22" s="1" t="s">
        <v>41</v>
      </c>
      <c r="D22" s="1" t="s">
        <v>80</v>
      </c>
      <c r="E22" s="1" t="s">
        <v>57</v>
      </c>
      <c r="F22" s="1" t="s">
        <v>2</v>
      </c>
      <c r="G22" s="1" t="s">
        <v>96</v>
      </c>
      <c r="H22" s="1">
        <v>5</v>
      </c>
      <c r="I22">
        <v>0</v>
      </c>
      <c r="J22" s="1" t="str" cm="1">
        <f t="array" ref="J22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打出し不良</v>
      </c>
      <c r="K22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打出し不良</v>
      </c>
      <c r="L22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22" s="1" t="str" cm="1">
        <f t="array" ref="M22">_xlfn.XLOOKUP(TEXT(_不良集計ゾーン別ADO[[#This Row],[番号]],"@"),TEXT(_番号ADO[番号],"@"),_番号ADO[発生],"",0,1)</f>
        <v>成形</v>
      </c>
      <c r="N22" s="1" t="str">
        <f>_xlfn.IFS(MID(_不良集計ゾーン別ADO[[#This Row],[品番]],3,2)="Fr","Fr",MID(_不良集計ゾーン別ADO[[#This Row],[品番]],3,2)="Rr","Rr",TRUE,"")</f>
        <v>Fr</v>
      </c>
      <c r="O22" s="1" t="str">
        <f>IF(ISBLANK(_不良集計ゾーン別ADO[[#This Row],[品番]]),"",RIGHT(_不良集計ゾーン別ADO[[#This Row],[品番]],2))</f>
        <v>RH</v>
      </c>
      <c r="P22" s="1" t="str">
        <f>_xlfn.IFS(LEFT(_不良集計ゾーン別ADO[[#This Row],[品番]],2)="アル","アルヴェル",LEFT(_不良集計ゾーン別ADO[[#This Row],[品番]],2)="ノア","ノアヴォク",TRUE,"")</f>
        <v>ノアヴォク</v>
      </c>
      <c r="U22" s="1"/>
    </row>
    <row r="23" spans="1:21" x14ac:dyDescent="0.45">
      <c r="A23">
        <v>19</v>
      </c>
      <c r="B23" s="16">
        <v>46028</v>
      </c>
      <c r="C23" s="1" t="s">
        <v>35</v>
      </c>
      <c r="D23" s="1" t="s">
        <v>48</v>
      </c>
      <c r="E23" s="1" t="s">
        <v>57</v>
      </c>
      <c r="F23" s="1" t="s">
        <v>0</v>
      </c>
      <c r="G23" s="1" t="s">
        <v>56</v>
      </c>
      <c r="H23" s="1">
        <v>2</v>
      </c>
      <c r="I23">
        <v>0</v>
      </c>
      <c r="J23" s="1" t="str" cm="1">
        <f t="array" ref="J23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ライン不良</v>
      </c>
      <c r="K23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ライン不良</v>
      </c>
      <c r="L23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23" s="1" t="str" cm="1">
        <f t="array" ref="M23">_xlfn.XLOOKUP(TEXT(_不良集計ゾーン別ADO[[#This Row],[番号]],"@"),TEXT(_番号ADO[番号],"@"),_番号ADO[発生],"",0,1)</f>
        <v>塗装</v>
      </c>
      <c r="N23" s="1" t="str">
        <f>_xlfn.IFS(MID(_不良集計ゾーン別ADO[[#This Row],[品番]],3,2)="Fr","Fr",MID(_不良集計ゾーン別ADO[[#This Row],[品番]],3,2)="Rr","Rr",TRUE,"")</f>
        <v>Fr</v>
      </c>
      <c r="O23" s="1" t="str">
        <f>IF(ISBLANK(_不良集計ゾーン別ADO[[#This Row],[品番]]),"",RIGHT(_不良集計ゾーン別ADO[[#This Row],[品番]],2))</f>
        <v>LH</v>
      </c>
      <c r="P23" s="1" t="str">
        <f>_xlfn.IFS(LEFT(_不良集計ゾーン別ADO[[#This Row],[品番]],2)="アル","アルヴェル",LEFT(_不良集計ゾーン別ADO[[#This Row],[品番]],2)="ノア","ノアヴォク",TRUE,"")</f>
        <v>ノアヴォク</v>
      </c>
      <c r="U23" s="1"/>
    </row>
    <row r="24" spans="1:21" x14ac:dyDescent="0.45">
      <c r="A24">
        <v>20</v>
      </c>
      <c r="B24" s="16">
        <v>46028</v>
      </c>
      <c r="C24" s="1" t="s">
        <v>41</v>
      </c>
      <c r="D24" s="1" t="s">
        <v>80</v>
      </c>
      <c r="E24" s="1" t="s">
        <v>55</v>
      </c>
      <c r="F24" s="1" t="s">
        <v>1</v>
      </c>
      <c r="G24" s="1" t="s">
        <v>56</v>
      </c>
      <c r="H24" s="1">
        <v>2</v>
      </c>
      <c r="I24">
        <v>0</v>
      </c>
      <c r="J24" s="1" t="str" cm="1">
        <f t="array" ref="J24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ライン不良</v>
      </c>
      <c r="K24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ライン不良</v>
      </c>
      <c r="L24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塗装</v>
      </c>
      <c r="M24" s="1" t="str" cm="1">
        <f t="array" ref="M24">_xlfn.XLOOKUP(TEXT(_不良集計ゾーン別ADO[[#This Row],[番号]],"@"),TEXT(_番号ADO[番号],"@"),_番号ADO[発生],"",0,1)</f>
        <v>塗装</v>
      </c>
      <c r="N24" s="1" t="str">
        <f>_xlfn.IFS(MID(_不良集計ゾーン別ADO[[#This Row],[品番]],3,2)="Fr","Fr",MID(_不良集計ゾーン別ADO[[#This Row],[品番]],3,2)="Rr","Rr",TRUE,"")</f>
        <v>Fr</v>
      </c>
      <c r="O24" s="1" t="str">
        <f>IF(ISBLANK(_不良集計ゾーン別ADO[[#This Row],[品番]]),"",RIGHT(_不良集計ゾーン別ADO[[#This Row],[品番]],2))</f>
        <v>RH</v>
      </c>
      <c r="P24" s="1" t="str">
        <f>_xlfn.IFS(LEFT(_不良集計ゾーン別ADO[[#This Row],[品番]],2)="アル","アルヴェル",LEFT(_不良集計ゾーン別ADO[[#This Row],[品番]],2)="ノア","ノアヴォク",TRUE,"")</f>
        <v>ノアヴォク</v>
      </c>
      <c r="U24" s="1"/>
    </row>
    <row r="25" spans="1:21" x14ac:dyDescent="0.45">
      <c r="A25">
        <v>21</v>
      </c>
      <c r="B25" s="16">
        <v>46029</v>
      </c>
      <c r="C25" s="1" t="s">
        <v>43</v>
      </c>
      <c r="D25" s="1" t="s">
        <v>86</v>
      </c>
      <c r="E25" s="1" t="s">
        <v>55</v>
      </c>
      <c r="F25" s="1" t="s">
        <v>1</v>
      </c>
      <c r="G25" s="1" t="s">
        <v>62</v>
      </c>
      <c r="H25" s="1">
        <v>1</v>
      </c>
      <c r="I25">
        <v>0</v>
      </c>
      <c r="J25" s="1" t="str" cm="1">
        <f t="array" ref="J25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塗装異物</v>
      </c>
      <c r="K25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塗装異物</v>
      </c>
      <c r="L25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塗装</v>
      </c>
      <c r="M25" s="1" t="str" cm="1">
        <f t="array" ref="M25">_xlfn.XLOOKUP(TEXT(_不良集計ゾーン別ADO[[#This Row],[番号]],"@"),TEXT(_番号ADO[番号],"@"),_番号ADO[発生],"",0,1)</f>
        <v>塗装</v>
      </c>
      <c r="N25" s="1" t="str">
        <f>_xlfn.IFS(MID(_不良集計ゾーン別ADO[[#This Row],[品番]],3,2)="Fr","Fr",MID(_不良集計ゾーン別ADO[[#This Row],[品番]],3,2)="Rr","Rr",TRUE,"")</f>
        <v>Rr</v>
      </c>
      <c r="O25" s="1" t="str">
        <f>IF(ISBLANK(_不良集計ゾーン別ADO[[#This Row],[品番]]),"",RIGHT(_不良集計ゾーン別ADO[[#This Row],[品番]],2))</f>
        <v>RH</v>
      </c>
      <c r="P25" s="1" t="str">
        <f>_xlfn.IFS(LEFT(_不良集計ゾーン別ADO[[#This Row],[品番]],2)="アル","アルヴェル",LEFT(_不良集計ゾーン別ADO[[#This Row],[品番]],2)="ノア","ノアヴォク",TRUE,"")</f>
        <v>ノアヴォク</v>
      </c>
      <c r="U25" s="1"/>
    </row>
    <row r="26" spans="1:21" x14ac:dyDescent="0.45">
      <c r="A26">
        <v>22</v>
      </c>
      <c r="B26" s="16">
        <v>46029</v>
      </c>
      <c r="C26" s="1" t="s">
        <v>42</v>
      </c>
      <c r="D26" s="1" t="s">
        <v>80</v>
      </c>
      <c r="E26" s="1" t="s">
        <v>55</v>
      </c>
      <c r="F26" s="1" t="s">
        <v>4</v>
      </c>
      <c r="G26" s="1" t="s">
        <v>39</v>
      </c>
      <c r="H26" s="1">
        <v>1</v>
      </c>
      <c r="I26">
        <v>0</v>
      </c>
      <c r="J26" s="1" t="str" cm="1">
        <f t="array" ref="J26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ピンホール</v>
      </c>
      <c r="K26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ピンホール</v>
      </c>
      <c r="L26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塗装</v>
      </c>
      <c r="M26" s="1" t="str" cm="1">
        <f t="array" ref="M26">_xlfn.XLOOKUP(TEXT(_不良集計ゾーン別ADO[[#This Row],[番号]],"@"),TEXT(_番号ADO[番号],"@"),_番号ADO[発生],"",0,1)</f>
        <v>塗装</v>
      </c>
      <c r="N26" s="1" t="str">
        <f>_xlfn.IFS(MID(_不良集計ゾーン別ADO[[#This Row],[品番]],3,2)="Fr","Fr",MID(_不良集計ゾーン別ADO[[#This Row],[品番]],3,2)="Rr","Rr",TRUE,"")</f>
        <v>Rr</v>
      </c>
      <c r="O26" s="1" t="str">
        <f>IF(ISBLANK(_不良集計ゾーン別ADO[[#This Row],[品番]]),"",RIGHT(_不良集計ゾーン別ADO[[#This Row],[品番]],2))</f>
        <v>LH</v>
      </c>
      <c r="P26" s="1" t="str">
        <f>_xlfn.IFS(LEFT(_不良集計ゾーン別ADO[[#This Row],[品番]],2)="アル","アルヴェル",LEFT(_不良集計ゾーン別ADO[[#This Row],[品番]],2)="ノア","ノアヴォク",TRUE,"")</f>
        <v>ノアヴォク</v>
      </c>
      <c r="U26" s="1"/>
    </row>
    <row r="27" spans="1:21" x14ac:dyDescent="0.45">
      <c r="A27">
        <v>23</v>
      </c>
      <c r="B27" s="16">
        <v>46028</v>
      </c>
      <c r="C27" s="1" t="s">
        <v>44</v>
      </c>
      <c r="D27" s="1" t="s">
        <v>199</v>
      </c>
      <c r="E27" s="1" t="s">
        <v>36</v>
      </c>
      <c r="F27" s="1" t="s">
        <v>0</v>
      </c>
      <c r="G27" s="1" t="s">
        <v>45</v>
      </c>
      <c r="H27" s="1">
        <v>1</v>
      </c>
      <c r="I27">
        <v>0</v>
      </c>
      <c r="J27" s="1" t="str" cm="1">
        <f t="array" ref="J27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SUSキズ</v>
      </c>
      <c r="K27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SUSキズ</v>
      </c>
      <c r="L27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27" s="1" t="str" cm="1">
        <f t="array" ref="M27">_xlfn.XLOOKUP(TEXT(_不良集計ゾーン別ADO[[#This Row],[番号]],"@"),TEXT(_番号ADO[番号],"@"),_番号ADO[発生],"",0,1)</f>
        <v>モール</v>
      </c>
      <c r="N27" s="1" t="str">
        <f>_xlfn.IFS(MID(_不良集計ゾーン別ADO[[#This Row],[品番]],3,2)="Fr","Fr",MID(_不良集計ゾーン別ADO[[#This Row],[品番]],3,2)="Rr","Rr",TRUE,"")</f>
        <v>Fr</v>
      </c>
      <c r="O27" s="1" t="str">
        <f>IF(ISBLANK(_不良集計ゾーン別ADO[[#This Row],[品番]]),"",RIGHT(_不良集計ゾーン別ADO[[#This Row],[品番]],2))</f>
        <v>LH</v>
      </c>
      <c r="P27" s="1" t="str">
        <f>_xlfn.IFS(LEFT(_不良集計ゾーン別ADO[[#This Row],[品番]],2)="アル","アルヴェル",LEFT(_不良集計ゾーン別ADO[[#This Row],[品番]],2)="ノア","ノアヴォク",TRUE,"")</f>
        <v>アルヴェル</v>
      </c>
      <c r="U27" s="1"/>
    </row>
    <row r="28" spans="1:21" x14ac:dyDescent="0.45">
      <c r="A28">
        <v>24</v>
      </c>
      <c r="B28" s="16">
        <v>46028</v>
      </c>
      <c r="C28" s="1" t="s">
        <v>54</v>
      </c>
      <c r="D28" s="1" t="s">
        <v>199</v>
      </c>
      <c r="E28" s="1" t="s">
        <v>36</v>
      </c>
      <c r="F28" s="1" t="s">
        <v>2</v>
      </c>
      <c r="G28" s="1" t="s">
        <v>39</v>
      </c>
      <c r="H28" s="1">
        <v>1</v>
      </c>
      <c r="I28">
        <v>1</v>
      </c>
      <c r="J28" s="1" t="str" cm="1">
        <f t="array" ref="J28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ピンホール</v>
      </c>
      <c r="K28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ピンホール</v>
      </c>
      <c r="L28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28" s="1" t="str" cm="1">
        <f t="array" ref="M28">_xlfn.XLOOKUP(TEXT(_不良集計ゾーン別ADO[[#This Row],[番号]],"@"),TEXT(_番号ADO[番号],"@"),_番号ADO[発生],"",0,1)</f>
        <v>塗装</v>
      </c>
      <c r="N28" s="1" t="str">
        <f>_xlfn.IFS(MID(_不良集計ゾーン別ADO[[#This Row],[品番]],3,2)="Fr","Fr",MID(_不良集計ゾーン別ADO[[#This Row],[品番]],3,2)="Rr","Rr",TRUE,"")</f>
        <v>Fr</v>
      </c>
      <c r="O28" s="1" t="str">
        <f>IF(ISBLANK(_不良集計ゾーン別ADO[[#This Row],[品番]]),"",RIGHT(_不良集計ゾーン別ADO[[#This Row],[品番]],2))</f>
        <v>RH</v>
      </c>
      <c r="P28" s="1" t="str">
        <f>_xlfn.IFS(LEFT(_不良集計ゾーン別ADO[[#This Row],[品番]],2)="アル","アルヴェル",LEFT(_不良集計ゾーン別ADO[[#This Row],[品番]],2)="ノア","ノアヴォク",TRUE,"")</f>
        <v>アルヴェル</v>
      </c>
      <c r="U28" s="1"/>
    </row>
    <row r="29" spans="1:21" x14ac:dyDescent="0.45">
      <c r="A29">
        <v>25</v>
      </c>
      <c r="B29" s="16">
        <v>46028</v>
      </c>
      <c r="C29" s="1" t="s">
        <v>49</v>
      </c>
      <c r="D29" s="1" t="s">
        <v>199</v>
      </c>
      <c r="E29" s="1" t="s">
        <v>36</v>
      </c>
      <c r="F29" s="1" t="s">
        <v>2</v>
      </c>
      <c r="G29" s="1" t="s">
        <v>114</v>
      </c>
      <c r="H29" s="1">
        <v>1</v>
      </c>
      <c r="I29">
        <v>0</v>
      </c>
      <c r="J29" s="1" t="str" cm="1">
        <f t="array" ref="J29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加工キズ</v>
      </c>
      <c r="K29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加工キズ</v>
      </c>
      <c r="L29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29" s="1" t="str" cm="1">
        <f t="array" ref="M29">_xlfn.XLOOKUP(TEXT(_不良集計ゾーン別ADO[[#This Row],[番号]],"@"),TEXT(_番号ADO[番号],"@"),_番号ADO[発生],"",0,1)</f>
        <v>加工</v>
      </c>
      <c r="N29" s="1" t="str">
        <f>_xlfn.IFS(MID(_不良集計ゾーン別ADO[[#This Row],[品番]],3,2)="Fr","Fr",MID(_不良集計ゾーン別ADO[[#This Row],[品番]],3,2)="Rr","Rr",TRUE,"")</f>
        <v>Rr</v>
      </c>
      <c r="O29" s="1" t="str">
        <f>IF(ISBLANK(_不良集計ゾーン別ADO[[#This Row],[品番]]),"",RIGHT(_不良集計ゾーン別ADO[[#This Row],[品番]],2))</f>
        <v>RH</v>
      </c>
      <c r="P29" s="1" t="str">
        <f>_xlfn.IFS(LEFT(_不良集計ゾーン別ADO[[#This Row],[品番]],2)="アル","アルヴェル",LEFT(_不良集計ゾーン別ADO[[#This Row],[品番]],2)="ノア","ノアヴォク",TRUE,"")</f>
        <v>アルヴェル</v>
      </c>
      <c r="U29" s="1"/>
    </row>
    <row r="30" spans="1:21" x14ac:dyDescent="0.45">
      <c r="A30">
        <v>26</v>
      </c>
      <c r="B30" s="16">
        <v>46028</v>
      </c>
      <c r="C30" s="1" t="s">
        <v>35</v>
      </c>
      <c r="D30" s="1" t="s">
        <v>48</v>
      </c>
      <c r="E30" s="1" t="s">
        <v>36</v>
      </c>
      <c r="F30" s="1" t="s">
        <v>2</v>
      </c>
      <c r="G30" s="1" t="s">
        <v>52</v>
      </c>
      <c r="H30" s="1">
        <v>1</v>
      </c>
      <c r="I30">
        <v>0</v>
      </c>
      <c r="J30" s="1" t="str" cm="1">
        <f t="array" ref="J30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30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30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30" s="1" t="str" cm="1">
        <f t="array" ref="M30">_xlfn.XLOOKUP(TEXT(_不良集計ゾーン別ADO[[#This Row],[番号]],"@"),TEXT(_番号ADO[番号],"@"),_番号ADO[発生],"",0,1)</f>
        <v>成形</v>
      </c>
      <c r="N30" s="1" t="str">
        <f>_xlfn.IFS(MID(_不良集計ゾーン別ADO[[#This Row],[品番]],3,2)="Fr","Fr",MID(_不良集計ゾーン別ADO[[#This Row],[品番]],3,2)="Rr","Rr",TRUE,"")</f>
        <v>Fr</v>
      </c>
      <c r="O30" s="1" t="str">
        <f>IF(ISBLANK(_不良集計ゾーン別ADO[[#This Row],[品番]]),"",RIGHT(_不良集計ゾーン別ADO[[#This Row],[品番]],2))</f>
        <v>LH</v>
      </c>
      <c r="P30" s="1" t="str">
        <f>_xlfn.IFS(LEFT(_不良集計ゾーン別ADO[[#This Row],[品番]],2)="アル","アルヴェル",LEFT(_不良集計ゾーン別ADO[[#This Row],[品番]],2)="ノア","ノアヴォク",TRUE,"")</f>
        <v>ノアヴォク</v>
      </c>
      <c r="U30" s="1"/>
    </row>
    <row r="31" spans="1:21" x14ac:dyDescent="0.45">
      <c r="A31">
        <v>27</v>
      </c>
      <c r="B31" s="16">
        <v>46028</v>
      </c>
      <c r="C31" s="1" t="s">
        <v>35</v>
      </c>
      <c r="D31" s="1" t="s">
        <v>48</v>
      </c>
      <c r="E31" s="1" t="s">
        <v>36</v>
      </c>
      <c r="F31" s="1" t="s">
        <v>0</v>
      </c>
      <c r="G31" s="1" t="s">
        <v>78</v>
      </c>
      <c r="H31" s="1">
        <v>4</v>
      </c>
      <c r="I31">
        <v>0</v>
      </c>
      <c r="J31" s="1" t="str" cm="1">
        <f t="array" ref="J31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ガス</v>
      </c>
      <c r="K31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ガス</v>
      </c>
      <c r="L31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31" s="1" t="str" cm="1">
        <f t="array" ref="M31">_xlfn.XLOOKUP(TEXT(_不良集計ゾーン別ADO[[#This Row],[番号]],"@"),TEXT(_番号ADO[番号],"@"),_番号ADO[発生],"",0,1)</f>
        <v>成形</v>
      </c>
      <c r="N31" s="1" t="str">
        <f>_xlfn.IFS(MID(_不良集計ゾーン別ADO[[#This Row],[品番]],3,2)="Fr","Fr",MID(_不良集計ゾーン別ADO[[#This Row],[品番]],3,2)="Rr","Rr",TRUE,"")</f>
        <v>Fr</v>
      </c>
      <c r="O31" s="1" t="str">
        <f>IF(ISBLANK(_不良集計ゾーン別ADO[[#This Row],[品番]]),"",RIGHT(_不良集計ゾーン別ADO[[#This Row],[品番]],2))</f>
        <v>LH</v>
      </c>
      <c r="P31" s="1" t="str">
        <f>_xlfn.IFS(LEFT(_不良集計ゾーン別ADO[[#This Row],[品番]],2)="アル","アルヴェル",LEFT(_不良集計ゾーン別ADO[[#This Row],[品番]],2)="ノア","ノアヴォク",TRUE,"")</f>
        <v>ノアヴォク</v>
      </c>
      <c r="U31" s="1"/>
    </row>
    <row r="32" spans="1:21" x14ac:dyDescent="0.45">
      <c r="A32">
        <v>28</v>
      </c>
      <c r="B32" s="16">
        <v>46028</v>
      </c>
      <c r="C32" s="1" t="s">
        <v>42</v>
      </c>
      <c r="D32" s="1" t="s">
        <v>48</v>
      </c>
      <c r="E32" s="1" t="s">
        <v>36</v>
      </c>
      <c r="F32" s="1" t="s">
        <v>0</v>
      </c>
      <c r="G32" s="1" t="s">
        <v>52</v>
      </c>
      <c r="H32" s="1">
        <v>1</v>
      </c>
      <c r="I32">
        <v>0</v>
      </c>
      <c r="J32" s="1" t="str" cm="1">
        <f t="array" ref="J32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32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32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32" s="1" t="str" cm="1">
        <f t="array" ref="M32">_xlfn.XLOOKUP(TEXT(_不良集計ゾーン別ADO[[#This Row],[番号]],"@"),TEXT(_番号ADO[番号],"@"),_番号ADO[発生],"",0,1)</f>
        <v>成形</v>
      </c>
      <c r="N32" s="1" t="str">
        <f>_xlfn.IFS(MID(_不良集計ゾーン別ADO[[#This Row],[品番]],3,2)="Fr","Fr",MID(_不良集計ゾーン別ADO[[#This Row],[品番]],3,2)="Rr","Rr",TRUE,"")</f>
        <v>Rr</v>
      </c>
      <c r="O32" s="1" t="str">
        <f>IF(ISBLANK(_不良集計ゾーン別ADO[[#This Row],[品番]]),"",RIGHT(_不良集計ゾーン別ADO[[#This Row],[品番]],2))</f>
        <v>LH</v>
      </c>
      <c r="P32" s="1" t="str">
        <f>_xlfn.IFS(LEFT(_不良集計ゾーン別ADO[[#This Row],[品番]],2)="アル","アルヴェル",LEFT(_不良集計ゾーン別ADO[[#This Row],[品番]],2)="ノア","ノアヴォク",TRUE,"")</f>
        <v>ノアヴォク</v>
      </c>
      <c r="U32" s="1"/>
    </row>
    <row r="33" spans="1:21" x14ac:dyDescent="0.45">
      <c r="A33">
        <v>29</v>
      </c>
      <c r="B33" s="16">
        <v>46028</v>
      </c>
      <c r="C33" s="1" t="s">
        <v>43</v>
      </c>
      <c r="D33" s="1" t="s">
        <v>48</v>
      </c>
      <c r="E33" s="1" t="s">
        <v>36</v>
      </c>
      <c r="F33" s="1" t="s">
        <v>2</v>
      </c>
      <c r="G33" s="1" t="s">
        <v>52</v>
      </c>
      <c r="H33" s="1">
        <v>1</v>
      </c>
      <c r="I33">
        <v>0</v>
      </c>
      <c r="J33" s="1" t="str" cm="1">
        <f t="array" ref="J33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33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33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33" s="1" t="str" cm="1">
        <f t="array" ref="M33">_xlfn.XLOOKUP(TEXT(_不良集計ゾーン別ADO[[#This Row],[番号]],"@"),TEXT(_番号ADO[番号],"@"),_番号ADO[発生],"",0,1)</f>
        <v>成形</v>
      </c>
      <c r="N33" s="1" t="str">
        <f>_xlfn.IFS(MID(_不良集計ゾーン別ADO[[#This Row],[品番]],3,2)="Fr","Fr",MID(_不良集計ゾーン別ADO[[#This Row],[品番]],3,2)="Rr","Rr",TRUE,"")</f>
        <v>Rr</v>
      </c>
      <c r="O33" s="1" t="str">
        <f>IF(ISBLANK(_不良集計ゾーン別ADO[[#This Row],[品番]]),"",RIGHT(_不良集計ゾーン別ADO[[#This Row],[品番]],2))</f>
        <v>RH</v>
      </c>
      <c r="P33" s="1" t="str">
        <f>_xlfn.IFS(LEFT(_不良集計ゾーン別ADO[[#This Row],[品番]],2)="アル","アルヴェル",LEFT(_不良集計ゾーン別ADO[[#This Row],[品番]],2)="ノア","ノアヴォク",TRUE,"")</f>
        <v>ノアヴォク</v>
      </c>
      <c r="U33" s="1"/>
    </row>
    <row r="34" spans="1:21" x14ac:dyDescent="0.45">
      <c r="A34">
        <v>30</v>
      </c>
      <c r="B34" s="16">
        <v>46028</v>
      </c>
      <c r="C34" s="1" t="s">
        <v>43</v>
      </c>
      <c r="D34" s="1" t="s">
        <v>48</v>
      </c>
      <c r="E34" s="1" t="s">
        <v>36</v>
      </c>
      <c r="F34" s="1" t="s">
        <v>3</v>
      </c>
      <c r="G34" s="1" t="s">
        <v>52</v>
      </c>
      <c r="H34" s="1">
        <v>1</v>
      </c>
      <c r="I34">
        <v>0</v>
      </c>
      <c r="J34" s="1" t="str" cm="1">
        <f t="array" ref="J34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34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34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34" s="1" t="str" cm="1">
        <f t="array" ref="M34">_xlfn.XLOOKUP(TEXT(_不良集計ゾーン別ADO[[#This Row],[番号]],"@"),TEXT(_番号ADO[番号],"@"),_番号ADO[発生],"",0,1)</f>
        <v>成形</v>
      </c>
      <c r="N34" s="1" t="str">
        <f>_xlfn.IFS(MID(_不良集計ゾーン別ADO[[#This Row],[品番]],3,2)="Fr","Fr",MID(_不良集計ゾーン別ADO[[#This Row],[品番]],3,2)="Rr","Rr",TRUE,"")</f>
        <v>Rr</v>
      </c>
      <c r="O34" s="1" t="str">
        <f>IF(ISBLANK(_不良集計ゾーン別ADO[[#This Row],[品番]]),"",RIGHT(_不良集計ゾーン別ADO[[#This Row],[品番]],2))</f>
        <v>RH</v>
      </c>
      <c r="P34" s="1" t="str">
        <f>_xlfn.IFS(LEFT(_不良集計ゾーン別ADO[[#This Row],[品番]],2)="アル","アルヴェル",LEFT(_不良集計ゾーン別ADO[[#This Row],[品番]],2)="ノア","ノアヴォク",TRUE,"")</f>
        <v>ノアヴォク</v>
      </c>
      <c r="U34" s="1"/>
    </row>
    <row r="35" spans="1:21" x14ac:dyDescent="0.45">
      <c r="A35">
        <v>31</v>
      </c>
      <c r="B35" s="16">
        <v>46028</v>
      </c>
      <c r="C35" s="1" t="s">
        <v>43</v>
      </c>
      <c r="D35" s="1" t="s">
        <v>48</v>
      </c>
      <c r="E35" s="1" t="s">
        <v>36</v>
      </c>
      <c r="F35" s="1" t="s">
        <v>4</v>
      </c>
      <c r="G35" s="1" t="s">
        <v>61</v>
      </c>
      <c r="H35" s="1">
        <v>1</v>
      </c>
      <c r="I35">
        <v>0</v>
      </c>
      <c r="J35" s="1" t="str" cm="1">
        <f t="array" ref="J35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塗装ひげ</v>
      </c>
      <c r="K35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塗装ひげ</v>
      </c>
      <c r="L35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35" s="1" t="str" cm="1">
        <f t="array" ref="M35">_xlfn.XLOOKUP(TEXT(_不良集計ゾーン別ADO[[#This Row],[番号]],"@"),TEXT(_番号ADO[番号],"@"),_番号ADO[発生],"",0,1)</f>
        <v>塗装</v>
      </c>
      <c r="N35" s="1" t="str">
        <f>_xlfn.IFS(MID(_不良集計ゾーン別ADO[[#This Row],[品番]],3,2)="Fr","Fr",MID(_不良集計ゾーン別ADO[[#This Row],[品番]],3,2)="Rr","Rr",TRUE,"")</f>
        <v>Rr</v>
      </c>
      <c r="O35" s="1" t="str">
        <f>IF(ISBLANK(_不良集計ゾーン別ADO[[#This Row],[品番]]),"",RIGHT(_不良集計ゾーン別ADO[[#This Row],[品番]],2))</f>
        <v>RH</v>
      </c>
      <c r="P35" s="1" t="str">
        <f>_xlfn.IFS(LEFT(_不良集計ゾーン別ADO[[#This Row],[品番]],2)="アル","アルヴェル",LEFT(_不良集計ゾーン別ADO[[#This Row],[品番]],2)="ノア","ノアヴォク",TRUE,"")</f>
        <v>ノアヴォク</v>
      </c>
      <c r="U35" s="1"/>
    </row>
    <row r="36" spans="1:21" x14ac:dyDescent="0.45">
      <c r="A36">
        <v>32</v>
      </c>
      <c r="B36" s="16">
        <v>46028</v>
      </c>
      <c r="C36" s="1" t="s">
        <v>44</v>
      </c>
      <c r="D36" s="1" t="s">
        <v>198</v>
      </c>
      <c r="E36" s="1" t="s">
        <v>50</v>
      </c>
      <c r="F36" s="1" t="s">
        <v>0</v>
      </c>
      <c r="G36" s="1" t="s">
        <v>52</v>
      </c>
      <c r="H36" s="1">
        <v>1</v>
      </c>
      <c r="I36">
        <v>0</v>
      </c>
      <c r="J36" s="1" t="str" cm="1">
        <f t="array" ref="J36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36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36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モール</v>
      </c>
      <c r="M36" s="1" t="str" cm="1">
        <f t="array" ref="M36">_xlfn.XLOOKUP(TEXT(_不良集計ゾーン別ADO[[#This Row],[番号]],"@"),TEXT(_番号ADO[番号],"@"),_番号ADO[発生],"",0,1)</f>
        <v>成形</v>
      </c>
      <c r="N36" s="1" t="str">
        <f>_xlfn.IFS(MID(_不良集計ゾーン別ADO[[#This Row],[品番]],3,2)="Fr","Fr",MID(_不良集計ゾーン別ADO[[#This Row],[品番]],3,2)="Rr","Rr",TRUE,"")</f>
        <v>Fr</v>
      </c>
      <c r="O36" s="1" t="str">
        <f>IF(ISBLANK(_不良集計ゾーン別ADO[[#This Row],[品番]]),"",RIGHT(_不良集計ゾーン別ADO[[#This Row],[品番]],2))</f>
        <v>LH</v>
      </c>
      <c r="P36" s="1" t="str">
        <f>_xlfn.IFS(LEFT(_不良集計ゾーン別ADO[[#This Row],[品番]],2)="アル","アルヴェル",LEFT(_不良集計ゾーン別ADO[[#This Row],[品番]],2)="ノア","ノアヴォク",TRUE,"")</f>
        <v>アルヴェル</v>
      </c>
      <c r="U36" s="1"/>
    </row>
    <row r="37" spans="1:21" x14ac:dyDescent="0.45">
      <c r="A37">
        <v>33</v>
      </c>
      <c r="B37" s="16">
        <v>46028</v>
      </c>
      <c r="C37" s="1" t="s">
        <v>54</v>
      </c>
      <c r="D37" s="1" t="s">
        <v>198</v>
      </c>
      <c r="E37" s="1" t="s">
        <v>50</v>
      </c>
      <c r="F37" s="1" t="s">
        <v>1</v>
      </c>
      <c r="G37" s="1" t="s">
        <v>40</v>
      </c>
      <c r="H37" s="1">
        <v>1</v>
      </c>
      <c r="I37">
        <v>0</v>
      </c>
      <c r="J37" s="1" t="str" cm="1">
        <f t="array" ref="J37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塗料付着</v>
      </c>
      <c r="K37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塗料付着</v>
      </c>
      <c r="L37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モール</v>
      </c>
      <c r="M37" s="1" t="str" cm="1">
        <f t="array" ref="M37">_xlfn.XLOOKUP(TEXT(_不良集計ゾーン別ADO[[#This Row],[番号]],"@"),TEXT(_番号ADO[番号],"@"),_番号ADO[発生],"",0,1)</f>
        <v>塗装</v>
      </c>
      <c r="N37" s="1" t="str">
        <f>_xlfn.IFS(MID(_不良集計ゾーン別ADO[[#This Row],[品番]],3,2)="Fr","Fr",MID(_不良集計ゾーン別ADO[[#This Row],[品番]],3,2)="Rr","Rr",TRUE,"")</f>
        <v>Fr</v>
      </c>
      <c r="O37" s="1" t="str">
        <f>IF(ISBLANK(_不良集計ゾーン別ADO[[#This Row],[品番]]),"",RIGHT(_不良集計ゾーン別ADO[[#This Row],[品番]],2))</f>
        <v>RH</v>
      </c>
      <c r="P37" s="1" t="str">
        <f>_xlfn.IFS(LEFT(_不良集計ゾーン別ADO[[#This Row],[品番]],2)="アル","アルヴェル",LEFT(_不良集計ゾーン別ADO[[#This Row],[品番]],2)="ノア","ノアヴォク",TRUE,"")</f>
        <v>アルヴェル</v>
      </c>
      <c r="U37" s="1"/>
    </row>
    <row r="38" spans="1:21" x14ac:dyDescent="0.45">
      <c r="A38">
        <v>34</v>
      </c>
      <c r="B38" s="16">
        <v>46028</v>
      </c>
      <c r="C38" s="1" t="s">
        <v>54</v>
      </c>
      <c r="D38" s="1" t="s">
        <v>198</v>
      </c>
      <c r="E38" s="1" t="s">
        <v>50</v>
      </c>
      <c r="F38" s="1" t="s">
        <v>3</v>
      </c>
      <c r="G38" s="1" t="s">
        <v>52</v>
      </c>
      <c r="H38" s="1">
        <v>1</v>
      </c>
      <c r="I38">
        <v>0</v>
      </c>
      <c r="J38" s="1" t="str" cm="1">
        <f t="array" ref="J38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38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38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モール</v>
      </c>
      <c r="M38" s="1" t="str" cm="1">
        <f t="array" ref="M38">_xlfn.XLOOKUP(TEXT(_不良集計ゾーン別ADO[[#This Row],[番号]],"@"),TEXT(_番号ADO[番号],"@"),_番号ADO[発生],"",0,1)</f>
        <v>成形</v>
      </c>
      <c r="N38" s="1" t="str">
        <f>_xlfn.IFS(MID(_不良集計ゾーン別ADO[[#This Row],[品番]],3,2)="Fr","Fr",MID(_不良集計ゾーン別ADO[[#This Row],[品番]],3,2)="Rr","Rr",TRUE,"")</f>
        <v>Fr</v>
      </c>
      <c r="O38" s="1" t="str">
        <f>IF(ISBLANK(_不良集計ゾーン別ADO[[#This Row],[品番]]),"",RIGHT(_不良集計ゾーン別ADO[[#This Row],[品番]],2))</f>
        <v>RH</v>
      </c>
      <c r="P38" s="1" t="str">
        <f>_xlfn.IFS(LEFT(_不良集計ゾーン別ADO[[#This Row],[品番]],2)="アル","アルヴェル",LEFT(_不良集計ゾーン別ADO[[#This Row],[品番]],2)="ノア","ノアヴォク",TRUE,"")</f>
        <v>アルヴェル</v>
      </c>
      <c r="U38" s="1"/>
    </row>
    <row r="39" spans="1:21" x14ac:dyDescent="0.45">
      <c r="A39">
        <v>35</v>
      </c>
      <c r="B39" s="16">
        <v>46028</v>
      </c>
      <c r="C39" s="1" t="s">
        <v>35</v>
      </c>
      <c r="D39" s="1" t="s">
        <v>68</v>
      </c>
      <c r="E39" s="1" t="s">
        <v>36</v>
      </c>
      <c r="F39" s="1" t="s">
        <v>3</v>
      </c>
      <c r="G39" s="1" t="s">
        <v>64</v>
      </c>
      <c r="H39" s="1">
        <v>1</v>
      </c>
      <c r="I39">
        <v>0</v>
      </c>
      <c r="J39" s="1" t="str" cm="1">
        <f t="array" ref="J39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ウエルド</v>
      </c>
      <c r="K39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ウエルド</v>
      </c>
      <c r="L39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39" s="1" t="str" cm="1">
        <f t="array" ref="M39">_xlfn.XLOOKUP(TEXT(_不良集計ゾーン別ADO[[#This Row],[番号]],"@"),TEXT(_番号ADO[番号],"@"),_番号ADO[発生],"",0,1)</f>
        <v>成形</v>
      </c>
      <c r="N39" s="1" t="str">
        <f>_xlfn.IFS(MID(_不良集計ゾーン別ADO[[#This Row],[品番]],3,2)="Fr","Fr",MID(_不良集計ゾーン別ADO[[#This Row],[品番]],3,2)="Rr","Rr",TRUE,"")</f>
        <v>Fr</v>
      </c>
      <c r="O39" s="1" t="str">
        <f>IF(ISBLANK(_不良集計ゾーン別ADO[[#This Row],[品番]]),"",RIGHT(_不良集計ゾーン別ADO[[#This Row],[品番]],2))</f>
        <v>LH</v>
      </c>
      <c r="P39" s="1" t="str">
        <f>_xlfn.IFS(LEFT(_不良集計ゾーン別ADO[[#This Row],[品番]],2)="アル","アルヴェル",LEFT(_不良集計ゾーン別ADO[[#This Row],[品番]],2)="ノア","ノアヴォク",TRUE,"")</f>
        <v>ノアヴォク</v>
      </c>
      <c r="U39" s="1"/>
    </row>
    <row r="40" spans="1:21" x14ac:dyDescent="0.45">
      <c r="A40">
        <v>36</v>
      </c>
      <c r="B40" s="16">
        <v>46028</v>
      </c>
      <c r="C40" s="1" t="s">
        <v>35</v>
      </c>
      <c r="D40" s="1" t="s">
        <v>68</v>
      </c>
      <c r="E40" s="1" t="s">
        <v>36</v>
      </c>
      <c r="F40" s="1" t="s">
        <v>0</v>
      </c>
      <c r="G40" s="1" t="s">
        <v>52</v>
      </c>
      <c r="H40" s="1">
        <v>2</v>
      </c>
      <c r="I40">
        <v>0</v>
      </c>
      <c r="J40" s="1" t="str" cm="1">
        <f t="array" ref="J40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40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40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40" s="1" t="str" cm="1">
        <f t="array" ref="M40">_xlfn.XLOOKUP(TEXT(_不良集計ゾーン別ADO[[#This Row],[番号]],"@"),TEXT(_番号ADO[番号],"@"),_番号ADO[発生],"",0,1)</f>
        <v>成形</v>
      </c>
      <c r="N40" s="1" t="str">
        <f>_xlfn.IFS(MID(_不良集計ゾーン別ADO[[#This Row],[品番]],3,2)="Fr","Fr",MID(_不良集計ゾーン別ADO[[#This Row],[品番]],3,2)="Rr","Rr",TRUE,"")</f>
        <v>Fr</v>
      </c>
      <c r="O40" s="1" t="str">
        <f>IF(ISBLANK(_不良集計ゾーン別ADO[[#This Row],[品番]]),"",RIGHT(_不良集計ゾーン別ADO[[#This Row],[品番]],2))</f>
        <v>LH</v>
      </c>
      <c r="P40" s="1" t="str">
        <f>_xlfn.IFS(LEFT(_不良集計ゾーン別ADO[[#This Row],[品番]],2)="アル","アルヴェル",LEFT(_不良集計ゾーン別ADO[[#This Row],[品番]],2)="ノア","ノアヴォク",TRUE,"")</f>
        <v>ノアヴォク</v>
      </c>
      <c r="U40" s="1"/>
    </row>
    <row r="41" spans="1:21" x14ac:dyDescent="0.45">
      <c r="A41">
        <v>37</v>
      </c>
      <c r="B41" s="16">
        <v>46028</v>
      </c>
      <c r="C41" s="1" t="s">
        <v>41</v>
      </c>
      <c r="D41" s="1" t="s">
        <v>68</v>
      </c>
      <c r="E41" s="1" t="s">
        <v>36</v>
      </c>
      <c r="F41" s="1" t="s">
        <v>0</v>
      </c>
      <c r="G41" s="1" t="s">
        <v>52</v>
      </c>
      <c r="H41" s="1">
        <v>1</v>
      </c>
      <c r="I41">
        <v>0</v>
      </c>
      <c r="J41" s="1" t="str" cm="1">
        <f t="array" ref="J41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41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41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41" s="1" t="str" cm="1">
        <f t="array" ref="M41">_xlfn.XLOOKUP(TEXT(_不良集計ゾーン別ADO[[#This Row],[番号]],"@"),TEXT(_番号ADO[番号],"@"),_番号ADO[発生],"",0,1)</f>
        <v>成形</v>
      </c>
      <c r="N41" s="1" t="str">
        <f>_xlfn.IFS(MID(_不良集計ゾーン別ADO[[#This Row],[品番]],3,2)="Fr","Fr",MID(_不良集計ゾーン別ADO[[#This Row],[品番]],3,2)="Rr","Rr",TRUE,"")</f>
        <v>Fr</v>
      </c>
      <c r="O41" s="1" t="str">
        <f>IF(ISBLANK(_不良集計ゾーン別ADO[[#This Row],[品番]]),"",RIGHT(_不良集計ゾーン別ADO[[#This Row],[品番]],2))</f>
        <v>RH</v>
      </c>
      <c r="P41" s="1" t="str">
        <f>_xlfn.IFS(LEFT(_不良集計ゾーン別ADO[[#This Row],[品番]],2)="アル","アルヴェル",LEFT(_不良集計ゾーン別ADO[[#This Row],[品番]],2)="ノア","ノアヴォク",TRUE,"")</f>
        <v>ノアヴォク</v>
      </c>
      <c r="U41" s="1"/>
    </row>
    <row r="42" spans="1:21" x14ac:dyDescent="0.45">
      <c r="A42">
        <v>38</v>
      </c>
      <c r="B42" s="16">
        <v>46028</v>
      </c>
      <c r="C42" s="1" t="s">
        <v>41</v>
      </c>
      <c r="D42" s="1" t="s">
        <v>68</v>
      </c>
      <c r="E42" s="1" t="s">
        <v>36</v>
      </c>
      <c r="F42" s="1" t="s">
        <v>1</v>
      </c>
      <c r="G42" s="1" t="s">
        <v>52</v>
      </c>
      <c r="H42" s="1">
        <v>1</v>
      </c>
      <c r="I42">
        <v>0</v>
      </c>
      <c r="J42" s="1" t="str" cm="1">
        <f t="array" ref="J42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42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42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42" s="1" t="str" cm="1">
        <f t="array" ref="M42">_xlfn.XLOOKUP(TEXT(_不良集計ゾーン別ADO[[#This Row],[番号]],"@"),TEXT(_番号ADO[番号],"@"),_番号ADO[発生],"",0,1)</f>
        <v>成形</v>
      </c>
      <c r="N42" s="1" t="str">
        <f>_xlfn.IFS(MID(_不良集計ゾーン別ADO[[#This Row],[品番]],3,2)="Fr","Fr",MID(_不良集計ゾーン別ADO[[#This Row],[品番]],3,2)="Rr","Rr",TRUE,"")</f>
        <v>Fr</v>
      </c>
      <c r="O42" s="1" t="str">
        <f>IF(ISBLANK(_不良集計ゾーン別ADO[[#This Row],[品番]]),"",RIGHT(_不良集計ゾーン別ADO[[#This Row],[品番]],2))</f>
        <v>RH</v>
      </c>
      <c r="P42" s="1" t="str">
        <f>_xlfn.IFS(LEFT(_不良集計ゾーン別ADO[[#This Row],[品番]],2)="アル","アルヴェル",LEFT(_不良集計ゾーン別ADO[[#This Row],[品番]],2)="ノア","ノアヴォク",TRUE,"")</f>
        <v>ノアヴォク</v>
      </c>
      <c r="U42" s="1"/>
    </row>
    <row r="43" spans="1:21" x14ac:dyDescent="0.45">
      <c r="A43">
        <v>39</v>
      </c>
      <c r="B43" s="16">
        <v>46028</v>
      </c>
      <c r="C43" s="1" t="s">
        <v>41</v>
      </c>
      <c r="D43" s="1" t="s">
        <v>68</v>
      </c>
      <c r="E43" s="1" t="s">
        <v>36</v>
      </c>
      <c r="F43" s="1" t="s">
        <v>1</v>
      </c>
      <c r="G43" s="1" t="s">
        <v>84</v>
      </c>
      <c r="H43" s="1">
        <v>2</v>
      </c>
      <c r="I43">
        <v>0</v>
      </c>
      <c r="J43" s="1" t="str" cm="1">
        <f t="array" ref="J43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プライマー</v>
      </c>
      <c r="K43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プライマー</v>
      </c>
      <c r="L43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43" s="1" t="str" cm="1">
        <f t="array" ref="M43">_xlfn.XLOOKUP(TEXT(_不良集計ゾーン別ADO[[#This Row],[番号]],"@"),TEXT(_番号ADO[番号],"@"),_番号ADO[発生],"",0,1)</f>
        <v>加工</v>
      </c>
      <c r="N43" s="1" t="str">
        <f>_xlfn.IFS(MID(_不良集計ゾーン別ADO[[#This Row],[品番]],3,2)="Fr","Fr",MID(_不良集計ゾーン別ADO[[#This Row],[品番]],3,2)="Rr","Rr",TRUE,"")</f>
        <v>Fr</v>
      </c>
      <c r="O43" s="1" t="str">
        <f>IF(ISBLANK(_不良集計ゾーン別ADO[[#This Row],[品番]]),"",RIGHT(_不良集計ゾーン別ADO[[#This Row],[品番]],2))</f>
        <v>RH</v>
      </c>
      <c r="P43" s="1" t="str">
        <f>_xlfn.IFS(LEFT(_不良集計ゾーン別ADO[[#This Row],[品番]],2)="アル","アルヴェル",LEFT(_不良集計ゾーン別ADO[[#This Row],[品番]],2)="ノア","ノアヴォク",TRUE,"")</f>
        <v>ノアヴォク</v>
      </c>
      <c r="U43" s="1"/>
    </row>
    <row r="44" spans="1:21" x14ac:dyDescent="0.45">
      <c r="A44">
        <v>40</v>
      </c>
      <c r="B44" s="16">
        <v>46028</v>
      </c>
      <c r="C44" s="1" t="s">
        <v>41</v>
      </c>
      <c r="D44" s="1" t="s">
        <v>68</v>
      </c>
      <c r="E44" s="1" t="s">
        <v>36</v>
      </c>
      <c r="F44" s="1" t="s">
        <v>2</v>
      </c>
      <c r="G44" s="1" t="s">
        <v>52</v>
      </c>
      <c r="H44" s="1">
        <v>2</v>
      </c>
      <c r="I44">
        <v>0</v>
      </c>
      <c r="J44" s="1" t="str" cm="1">
        <f t="array" ref="J44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44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44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44" s="1" t="str" cm="1">
        <f t="array" ref="M44">_xlfn.XLOOKUP(TEXT(_不良集計ゾーン別ADO[[#This Row],[番号]],"@"),TEXT(_番号ADO[番号],"@"),_番号ADO[発生],"",0,1)</f>
        <v>成形</v>
      </c>
      <c r="N44" s="1" t="str">
        <f>_xlfn.IFS(MID(_不良集計ゾーン別ADO[[#This Row],[品番]],3,2)="Fr","Fr",MID(_不良集計ゾーン別ADO[[#This Row],[品番]],3,2)="Rr","Rr",TRUE,"")</f>
        <v>Fr</v>
      </c>
      <c r="O44" s="1" t="str">
        <f>IF(ISBLANK(_不良集計ゾーン別ADO[[#This Row],[品番]]),"",RIGHT(_不良集計ゾーン別ADO[[#This Row],[品番]],2))</f>
        <v>RH</v>
      </c>
      <c r="P44" s="1" t="str">
        <f>_xlfn.IFS(LEFT(_不良集計ゾーン別ADO[[#This Row],[品番]],2)="アル","アルヴェル",LEFT(_不良集計ゾーン別ADO[[#This Row],[品番]],2)="ノア","ノアヴォク",TRUE,"")</f>
        <v>ノアヴォク</v>
      </c>
      <c r="U44" s="1"/>
    </row>
    <row r="45" spans="1:21" x14ac:dyDescent="0.45">
      <c r="A45">
        <v>41</v>
      </c>
      <c r="B45" s="16">
        <v>46028</v>
      </c>
      <c r="C45" s="1" t="s">
        <v>41</v>
      </c>
      <c r="D45" s="1" t="s">
        <v>68</v>
      </c>
      <c r="E45" s="1" t="s">
        <v>36</v>
      </c>
      <c r="F45" s="1" t="s">
        <v>3</v>
      </c>
      <c r="G45" s="1" t="s">
        <v>52</v>
      </c>
      <c r="H45" s="1">
        <v>1</v>
      </c>
      <c r="I45">
        <v>0</v>
      </c>
      <c r="J45" s="1" t="str" cm="1">
        <f t="array" ref="J45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45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45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45" s="1" t="str" cm="1">
        <f t="array" ref="M45">_xlfn.XLOOKUP(TEXT(_不良集計ゾーン別ADO[[#This Row],[番号]],"@"),TEXT(_番号ADO[番号],"@"),_番号ADO[発生],"",0,1)</f>
        <v>成形</v>
      </c>
      <c r="N45" s="1" t="str">
        <f>_xlfn.IFS(MID(_不良集計ゾーン別ADO[[#This Row],[品番]],3,2)="Fr","Fr",MID(_不良集計ゾーン別ADO[[#This Row],[品番]],3,2)="Rr","Rr",TRUE,"")</f>
        <v>Fr</v>
      </c>
      <c r="O45" s="1" t="str">
        <f>IF(ISBLANK(_不良集計ゾーン別ADO[[#This Row],[品番]]),"",RIGHT(_不良集計ゾーン別ADO[[#This Row],[品番]],2))</f>
        <v>RH</v>
      </c>
      <c r="P45" s="1" t="str">
        <f>_xlfn.IFS(LEFT(_不良集計ゾーン別ADO[[#This Row],[品番]],2)="アル","アルヴェル",LEFT(_不良集計ゾーン別ADO[[#This Row],[品番]],2)="ノア","ノアヴォク",TRUE,"")</f>
        <v>ノアヴォク</v>
      </c>
      <c r="U45" s="1"/>
    </row>
    <row r="46" spans="1:21" x14ac:dyDescent="0.45">
      <c r="A46">
        <v>42</v>
      </c>
      <c r="B46" s="16">
        <v>46028</v>
      </c>
      <c r="C46" s="1" t="s">
        <v>41</v>
      </c>
      <c r="D46" s="1" t="s">
        <v>68</v>
      </c>
      <c r="E46" s="1" t="s">
        <v>36</v>
      </c>
      <c r="F46" s="1" t="s">
        <v>4</v>
      </c>
      <c r="G46" s="1" t="s">
        <v>52</v>
      </c>
      <c r="H46" s="1">
        <v>1</v>
      </c>
      <c r="I46">
        <v>0</v>
      </c>
      <c r="J46" s="1" t="str" cm="1">
        <f t="array" ref="J46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46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46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46" s="1" t="str" cm="1">
        <f t="array" ref="M46">_xlfn.XLOOKUP(TEXT(_不良集計ゾーン別ADO[[#This Row],[番号]],"@"),TEXT(_番号ADO[番号],"@"),_番号ADO[発生],"",0,1)</f>
        <v>成形</v>
      </c>
      <c r="N46" s="1" t="str">
        <f>_xlfn.IFS(MID(_不良集計ゾーン別ADO[[#This Row],[品番]],3,2)="Fr","Fr",MID(_不良集計ゾーン別ADO[[#This Row],[品番]],3,2)="Rr","Rr",TRUE,"")</f>
        <v>Fr</v>
      </c>
      <c r="O46" s="1" t="str">
        <f>IF(ISBLANK(_不良集計ゾーン別ADO[[#This Row],[品番]]),"",RIGHT(_不良集計ゾーン別ADO[[#This Row],[品番]],2))</f>
        <v>RH</v>
      </c>
      <c r="P46" s="1" t="str">
        <f>_xlfn.IFS(LEFT(_不良集計ゾーン別ADO[[#This Row],[品番]],2)="アル","アルヴェル",LEFT(_不良集計ゾーン別ADO[[#This Row],[品番]],2)="ノア","ノアヴォク",TRUE,"")</f>
        <v>ノアヴォク</v>
      </c>
      <c r="U46" s="1"/>
    </row>
    <row r="47" spans="1:21" x14ac:dyDescent="0.45">
      <c r="A47">
        <v>43</v>
      </c>
      <c r="B47" s="16">
        <v>46028</v>
      </c>
      <c r="C47" s="1" t="s">
        <v>42</v>
      </c>
      <c r="D47" s="1" t="s">
        <v>68</v>
      </c>
      <c r="E47" s="1" t="s">
        <v>36</v>
      </c>
      <c r="F47" s="1" t="s">
        <v>3</v>
      </c>
      <c r="G47" s="1" t="s">
        <v>64</v>
      </c>
      <c r="H47" s="1">
        <v>1</v>
      </c>
      <c r="I47">
        <v>0</v>
      </c>
      <c r="J47" s="1" t="str" cm="1">
        <f t="array" ref="J47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ウエルド</v>
      </c>
      <c r="K47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ウエルド</v>
      </c>
      <c r="L47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47" s="1" t="str" cm="1">
        <f t="array" ref="M47">_xlfn.XLOOKUP(TEXT(_不良集計ゾーン別ADO[[#This Row],[番号]],"@"),TEXT(_番号ADO[番号],"@"),_番号ADO[発生],"",0,1)</f>
        <v>成形</v>
      </c>
      <c r="N47" s="1" t="str">
        <f>_xlfn.IFS(MID(_不良集計ゾーン別ADO[[#This Row],[品番]],3,2)="Fr","Fr",MID(_不良集計ゾーン別ADO[[#This Row],[品番]],3,2)="Rr","Rr",TRUE,"")</f>
        <v>Rr</v>
      </c>
      <c r="O47" s="1" t="str">
        <f>IF(ISBLANK(_不良集計ゾーン別ADO[[#This Row],[品番]]),"",RIGHT(_不良集計ゾーン別ADO[[#This Row],[品番]],2))</f>
        <v>LH</v>
      </c>
      <c r="P47" s="1" t="str">
        <f>_xlfn.IFS(LEFT(_不良集計ゾーン別ADO[[#This Row],[品番]],2)="アル","アルヴェル",LEFT(_不良集計ゾーン別ADO[[#This Row],[品番]],2)="ノア","ノアヴォク",TRUE,"")</f>
        <v>ノアヴォク</v>
      </c>
      <c r="U47" s="1"/>
    </row>
    <row r="48" spans="1:21" x14ac:dyDescent="0.45">
      <c r="A48">
        <v>44</v>
      </c>
      <c r="B48" s="16">
        <v>46028</v>
      </c>
      <c r="C48" s="1" t="s">
        <v>42</v>
      </c>
      <c r="D48" s="1" t="s">
        <v>68</v>
      </c>
      <c r="E48" s="1" t="s">
        <v>36</v>
      </c>
      <c r="F48" s="1" t="s">
        <v>2</v>
      </c>
      <c r="G48" s="1" t="s">
        <v>84</v>
      </c>
      <c r="H48" s="1">
        <v>2</v>
      </c>
      <c r="I48">
        <v>0</v>
      </c>
      <c r="J48" s="1" t="str" cm="1">
        <f t="array" ref="J48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プライマー</v>
      </c>
      <c r="K48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プライマー</v>
      </c>
      <c r="L48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48" s="1" t="str" cm="1">
        <f t="array" ref="M48">_xlfn.XLOOKUP(TEXT(_不良集計ゾーン別ADO[[#This Row],[番号]],"@"),TEXT(_番号ADO[番号],"@"),_番号ADO[発生],"",0,1)</f>
        <v>加工</v>
      </c>
      <c r="N48" s="1" t="str">
        <f>_xlfn.IFS(MID(_不良集計ゾーン別ADO[[#This Row],[品番]],3,2)="Fr","Fr",MID(_不良集計ゾーン別ADO[[#This Row],[品番]],3,2)="Rr","Rr",TRUE,"")</f>
        <v>Rr</v>
      </c>
      <c r="O48" s="1" t="str">
        <f>IF(ISBLANK(_不良集計ゾーン別ADO[[#This Row],[品番]]),"",RIGHT(_不良集計ゾーン別ADO[[#This Row],[品番]],2))</f>
        <v>LH</v>
      </c>
      <c r="P48" s="1" t="str">
        <f>_xlfn.IFS(LEFT(_不良集計ゾーン別ADO[[#This Row],[品番]],2)="アル","アルヴェル",LEFT(_不良集計ゾーン別ADO[[#This Row],[品番]],2)="ノア","ノアヴォク",TRUE,"")</f>
        <v>ノアヴォク</v>
      </c>
      <c r="U48" s="1"/>
    </row>
    <row r="49" spans="1:21" x14ac:dyDescent="0.45">
      <c r="A49">
        <v>45</v>
      </c>
      <c r="B49" s="16">
        <v>46028</v>
      </c>
      <c r="C49" s="1" t="s">
        <v>42</v>
      </c>
      <c r="D49" s="1" t="s">
        <v>68</v>
      </c>
      <c r="E49" s="1" t="s">
        <v>36</v>
      </c>
      <c r="F49" s="1" t="s">
        <v>0</v>
      </c>
      <c r="G49" s="1" t="s">
        <v>39</v>
      </c>
      <c r="H49" s="1">
        <v>1</v>
      </c>
      <c r="I49">
        <v>1</v>
      </c>
      <c r="J49" s="1" t="str" cm="1">
        <f t="array" ref="J49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ピンホール</v>
      </c>
      <c r="K49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ピンホール</v>
      </c>
      <c r="L49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49" s="1" t="str" cm="1">
        <f t="array" ref="M49">_xlfn.XLOOKUP(TEXT(_不良集計ゾーン別ADO[[#This Row],[番号]],"@"),TEXT(_番号ADO[番号],"@"),_番号ADO[発生],"",0,1)</f>
        <v>塗装</v>
      </c>
      <c r="N49" s="1" t="str">
        <f>_xlfn.IFS(MID(_不良集計ゾーン別ADO[[#This Row],[品番]],3,2)="Fr","Fr",MID(_不良集計ゾーン別ADO[[#This Row],[品番]],3,2)="Rr","Rr",TRUE,"")</f>
        <v>Rr</v>
      </c>
      <c r="O49" s="1" t="str">
        <f>IF(ISBLANK(_不良集計ゾーン別ADO[[#This Row],[品番]]),"",RIGHT(_不良集計ゾーン別ADO[[#This Row],[品番]],2))</f>
        <v>LH</v>
      </c>
      <c r="P49" s="1" t="str">
        <f>_xlfn.IFS(LEFT(_不良集計ゾーン別ADO[[#This Row],[品番]],2)="アル","アルヴェル",LEFT(_不良集計ゾーン別ADO[[#This Row],[品番]],2)="ノア","ノアヴォク",TRUE,"")</f>
        <v>ノアヴォク</v>
      </c>
      <c r="U49" s="1"/>
    </row>
    <row r="50" spans="1:21" x14ac:dyDescent="0.45">
      <c r="A50">
        <v>46</v>
      </c>
      <c r="B50" s="16">
        <v>46028</v>
      </c>
      <c r="C50" s="1" t="s">
        <v>43</v>
      </c>
      <c r="D50" s="1" t="s">
        <v>68</v>
      </c>
      <c r="E50" s="1" t="s">
        <v>36</v>
      </c>
      <c r="F50" s="1" t="s">
        <v>0</v>
      </c>
      <c r="G50" s="1" t="s">
        <v>84</v>
      </c>
      <c r="H50" s="1">
        <v>1</v>
      </c>
      <c r="I50">
        <v>0</v>
      </c>
      <c r="J50" s="1" t="str" cm="1">
        <f t="array" ref="J50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プライマー</v>
      </c>
      <c r="K50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プライマー</v>
      </c>
      <c r="L50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50" s="1" t="str" cm="1">
        <f t="array" ref="M50">_xlfn.XLOOKUP(TEXT(_不良集計ゾーン別ADO[[#This Row],[番号]],"@"),TEXT(_番号ADO[番号],"@"),_番号ADO[発生],"",0,1)</f>
        <v>加工</v>
      </c>
      <c r="N50" s="1" t="str">
        <f>_xlfn.IFS(MID(_不良集計ゾーン別ADO[[#This Row],[品番]],3,2)="Fr","Fr",MID(_不良集計ゾーン別ADO[[#This Row],[品番]],3,2)="Rr","Rr",TRUE,"")</f>
        <v>Rr</v>
      </c>
      <c r="O50" s="1" t="str">
        <f>IF(ISBLANK(_不良集計ゾーン別ADO[[#This Row],[品番]]),"",RIGHT(_不良集計ゾーン別ADO[[#This Row],[品番]],2))</f>
        <v>RH</v>
      </c>
      <c r="P50" s="1" t="str">
        <f>_xlfn.IFS(LEFT(_不良集計ゾーン別ADO[[#This Row],[品番]],2)="アル","アルヴェル",LEFT(_不良集計ゾーン別ADO[[#This Row],[品番]],2)="ノア","ノアヴォク",TRUE,"")</f>
        <v>ノアヴォク</v>
      </c>
      <c r="U50" s="1"/>
    </row>
    <row r="51" spans="1:21" x14ac:dyDescent="0.45">
      <c r="A51">
        <v>47</v>
      </c>
      <c r="B51" s="16">
        <v>46028</v>
      </c>
      <c r="C51" s="1" t="s">
        <v>43</v>
      </c>
      <c r="D51" s="1" t="s">
        <v>68</v>
      </c>
      <c r="E51" s="1" t="s">
        <v>36</v>
      </c>
      <c r="F51" s="1" t="s">
        <v>0</v>
      </c>
      <c r="G51" s="1" t="s">
        <v>52</v>
      </c>
      <c r="H51" s="1">
        <v>1</v>
      </c>
      <c r="I51">
        <v>0</v>
      </c>
      <c r="J51" s="1" t="str" cm="1">
        <f t="array" ref="J51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51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51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51" s="1" t="str" cm="1">
        <f t="array" ref="M51">_xlfn.XLOOKUP(TEXT(_不良集計ゾーン別ADO[[#This Row],[番号]],"@"),TEXT(_番号ADO[番号],"@"),_番号ADO[発生],"",0,1)</f>
        <v>成形</v>
      </c>
      <c r="N51" s="1" t="str">
        <f>_xlfn.IFS(MID(_不良集計ゾーン別ADO[[#This Row],[品番]],3,2)="Fr","Fr",MID(_不良集計ゾーン別ADO[[#This Row],[品番]],3,2)="Rr","Rr",TRUE,"")</f>
        <v>Rr</v>
      </c>
      <c r="O51" s="1" t="str">
        <f>IF(ISBLANK(_不良集計ゾーン別ADO[[#This Row],[品番]]),"",RIGHT(_不良集計ゾーン別ADO[[#This Row],[品番]],2))</f>
        <v>RH</v>
      </c>
      <c r="P51" s="1" t="str">
        <f>_xlfn.IFS(LEFT(_不良集計ゾーン別ADO[[#This Row],[品番]],2)="アル","アルヴェル",LEFT(_不良集計ゾーン別ADO[[#This Row],[品番]],2)="ノア","ノアヴォク",TRUE,"")</f>
        <v>ノアヴォク</v>
      </c>
      <c r="U51" s="1"/>
    </row>
    <row r="52" spans="1:21" x14ac:dyDescent="0.45">
      <c r="A52">
        <v>48</v>
      </c>
      <c r="B52" s="16">
        <v>46028</v>
      </c>
      <c r="C52" s="1" t="s">
        <v>43</v>
      </c>
      <c r="D52" s="1" t="s">
        <v>68</v>
      </c>
      <c r="E52" s="1" t="s">
        <v>36</v>
      </c>
      <c r="F52" s="1" t="s">
        <v>1</v>
      </c>
      <c r="G52" s="1" t="s">
        <v>52</v>
      </c>
      <c r="H52" s="1">
        <v>1</v>
      </c>
      <c r="I52">
        <v>0</v>
      </c>
      <c r="J52" s="1" t="str" cm="1">
        <f t="array" ref="J52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52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52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52" s="1" t="str" cm="1">
        <f t="array" ref="M52">_xlfn.XLOOKUP(TEXT(_不良集計ゾーン別ADO[[#This Row],[番号]],"@"),TEXT(_番号ADO[番号],"@"),_番号ADO[発生],"",0,1)</f>
        <v>成形</v>
      </c>
      <c r="N52" s="1" t="str">
        <f>_xlfn.IFS(MID(_不良集計ゾーン別ADO[[#This Row],[品番]],3,2)="Fr","Fr",MID(_不良集計ゾーン別ADO[[#This Row],[品番]],3,2)="Rr","Rr",TRUE,"")</f>
        <v>Rr</v>
      </c>
      <c r="O52" s="1" t="str">
        <f>IF(ISBLANK(_不良集計ゾーン別ADO[[#This Row],[品番]]),"",RIGHT(_不良集計ゾーン別ADO[[#This Row],[品番]],2))</f>
        <v>RH</v>
      </c>
      <c r="P52" s="1" t="str">
        <f>_xlfn.IFS(LEFT(_不良集計ゾーン別ADO[[#This Row],[品番]],2)="アル","アルヴェル",LEFT(_不良集計ゾーン別ADO[[#This Row],[品番]],2)="ノア","ノアヴォク",TRUE,"")</f>
        <v>ノアヴォク</v>
      </c>
      <c r="U52" s="1"/>
    </row>
    <row r="53" spans="1:21" x14ac:dyDescent="0.45">
      <c r="A53">
        <v>49</v>
      </c>
      <c r="B53" s="16">
        <v>46028</v>
      </c>
      <c r="C53" s="1" t="s">
        <v>44</v>
      </c>
      <c r="D53" s="1" t="s">
        <v>199</v>
      </c>
      <c r="E53" s="1" t="s">
        <v>50</v>
      </c>
      <c r="F53" s="1" t="s">
        <v>2</v>
      </c>
      <c r="G53" s="1" t="s">
        <v>92</v>
      </c>
      <c r="H53" s="1">
        <v>1</v>
      </c>
      <c r="I53">
        <v>0</v>
      </c>
      <c r="J53" s="1" t="str" cm="1">
        <f t="array" ref="J53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油</v>
      </c>
      <c r="K53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油</v>
      </c>
      <c r="L53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モール</v>
      </c>
      <c r="M53" s="1" t="str" cm="1">
        <f t="array" ref="M53">_xlfn.XLOOKUP(TEXT(_不良集計ゾーン別ADO[[#This Row],[番号]],"@"),TEXT(_番号ADO[番号],"@"),_番号ADO[発生],"",0,1)</f>
        <v>成形</v>
      </c>
      <c r="N53" s="1" t="str">
        <f>_xlfn.IFS(MID(_不良集計ゾーン別ADO[[#This Row],[品番]],3,2)="Fr","Fr",MID(_不良集計ゾーン別ADO[[#This Row],[品番]],3,2)="Rr","Rr",TRUE,"")</f>
        <v>Fr</v>
      </c>
      <c r="O53" s="1" t="str">
        <f>IF(ISBLANK(_不良集計ゾーン別ADO[[#This Row],[品番]]),"",RIGHT(_不良集計ゾーン別ADO[[#This Row],[品番]],2))</f>
        <v>LH</v>
      </c>
      <c r="P53" s="1" t="str">
        <f>_xlfn.IFS(LEFT(_不良集計ゾーン別ADO[[#This Row],[品番]],2)="アル","アルヴェル",LEFT(_不良集計ゾーン別ADO[[#This Row],[品番]],2)="ノア","ノアヴォク",TRUE,"")</f>
        <v>アルヴェル</v>
      </c>
      <c r="U53" s="1"/>
    </row>
    <row r="54" spans="1:21" x14ac:dyDescent="0.45">
      <c r="A54">
        <v>50</v>
      </c>
      <c r="B54" s="16">
        <v>46028</v>
      </c>
      <c r="C54" s="1" t="s">
        <v>46</v>
      </c>
      <c r="D54" s="1" t="s">
        <v>199</v>
      </c>
      <c r="E54" s="1" t="s">
        <v>50</v>
      </c>
      <c r="F54" s="1" t="s">
        <v>4</v>
      </c>
      <c r="G54" s="1" t="s">
        <v>37</v>
      </c>
      <c r="H54" s="1">
        <v>6</v>
      </c>
      <c r="I54">
        <v>0</v>
      </c>
      <c r="J54" s="1" t="str" cm="1">
        <f t="array" ref="J54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54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54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モール</v>
      </c>
      <c r="M54" s="1" t="str" cm="1">
        <f t="array" ref="M54">_xlfn.XLOOKUP(TEXT(_不良集計ゾーン別ADO[[#This Row],[番号]],"@"),TEXT(_番号ADO[番号],"@"),_番号ADO[発生],"",0,1)</f>
        <v>塗装</v>
      </c>
      <c r="N54" s="1" t="str">
        <f>_xlfn.IFS(MID(_不良集計ゾーン別ADO[[#This Row],[品番]],3,2)="Fr","Fr",MID(_不良集計ゾーン別ADO[[#This Row],[品番]],3,2)="Rr","Rr",TRUE,"")</f>
        <v>Rr</v>
      </c>
      <c r="O54" s="1" t="str">
        <f>IF(ISBLANK(_不良集計ゾーン別ADO[[#This Row],[品番]]),"",RIGHT(_不良集計ゾーン別ADO[[#This Row],[品番]],2))</f>
        <v>LH</v>
      </c>
      <c r="P54" s="1" t="str">
        <f>_xlfn.IFS(LEFT(_不良集計ゾーン別ADO[[#This Row],[品番]],2)="アル","アルヴェル",LEFT(_不良集計ゾーン別ADO[[#This Row],[品番]],2)="ノア","ノアヴォク",TRUE,"")</f>
        <v>アルヴェル</v>
      </c>
      <c r="U54" s="1"/>
    </row>
    <row r="55" spans="1:21" x14ac:dyDescent="0.45">
      <c r="A55">
        <v>51</v>
      </c>
      <c r="B55" s="16">
        <v>46028</v>
      </c>
      <c r="C55" s="1" t="s">
        <v>46</v>
      </c>
      <c r="D55" s="1" t="s">
        <v>199</v>
      </c>
      <c r="E55" s="1" t="s">
        <v>50</v>
      </c>
      <c r="F55" s="1" t="s">
        <v>0</v>
      </c>
      <c r="G55" s="1" t="s">
        <v>52</v>
      </c>
      <c r="H55" s="1">
        <v>1</v>
      </c>
      <c r="I55">
        <v>0</v>
      </c>
      <c r="J55" s="1" t="str" cm="1">
        <f t="array" ref="J55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55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55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モール</v>
      </c>
      <c r="M55" s="1" t="str" cm="1">
        <f t="array" ref="M55">_xlfn.XLOOKUP(TEXT(_不良集計ゾーン別ADO[[#This Row],[番号]],"@"),TEXT(_番号ADO[番号],"@"),_番号ADO[発生],"",0,1)</f>
        <v>成形</v>
      </c>
      <c r="N55" s="1" t="str">
        <f>_xlfn.IFS(MID(_不良集計ゾーン別ADO[[#This Row],[品番]],3,2)="Fr","Fr",MID(_不良集計ゾーン別ADO[[#This Row],[品番]],3,2)="Rr","Rr",TRUE,"")</f>
        <v>Rr</v>
      </c>
      <c r="O55" s="1" t="str">
        <f>IF(ISBLANK(_不良集計ゾーン別ADO[[#This Row],[品番]]),"",RIGHT(_不良集計ゾーン別ADO[[#This Row],[品番]],2))</f>
        <v>LH</v>
      </c>
      <c r="P55" s="1" t="str">
        <f>_xlfn.IFS(LEFT(_不良集計ゾーン別ADO[[#This Row],[品番]],2)="アル","アルヴェル",LEFT(_不良集計ゾーン別ADO[[#This Row],[品番]],2)="ノア","ノアヴォク",TRUE,"")</f>
        <v>アルヴェル</v>
      </c>
      <c r="U55" s="1"/>
    </row>
    <row r="56" spans="1:21" x14ac:dyDescent="0.45">
      <c r="A56">
        <v>52</v>
      </c>
      <c r="B56" s="16">
        <v>46028</v>
      </c>
      <c r="C56" s="1" t="s">
        <v>49</v>
      </c>
      <c r="D56" s="1" t="s">
        <v>199</v>
      </c>
      <c r="E56" s="1" t="s">
        <v>50</v>
      </c>
      <c r="F56" s="1" t="s">
        <v>0</v>
      </c>
      <c r="G56" s="1" t="s">
        <v>52</v>
      </c>
      <c r="H56" s="1">
        <v>1</v>
      </c>
      <c r="I56">
        <v>0</v>
      </c>
      <c r="J56" s="1" t="str" cm="1">
        <f t="array" ref="J56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56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56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モール</v>
      </c>
      <c r="M56" s="1" t="str" cm="1">
        <f t="array" ref="M56">_xlfn.XLOOKUP(TEXT(_不良集計ゾーン別ADO[[#This Row],[番号]],"@"),TEXT(_番号ADO[番号],"@"),_番号ADO[発生],"",0,1)</f>
        <v>成形</v>
      </c>
      <c r="N56" s="1" t="str">
        <f>_xlfn.IFS(MID(_不良集計ゾーン別ADO[[#This Row],[品番]],3,2)="Fr","Fr",MID(_不良集計ゾーン別ADO[[#This Row],[品番]],3,2)="Rr","Rr",TRUE,"")</f>
        <v>Rr</v>
      </c>
      <c r="O56" s="1" t="str">
        <f>IF(ISBLANK(_不良集計ゾーン別ADO[[#This Row],[品番]]),"",RIGHT(_不良集計ゾーン別ADO[[#This Row],[品番]],2))</f>
        <v>RH</v>
      </c>
      <c r="P56" s="1" t="str">
        <f>_xlfn.IFS(LEFT(_不良集計ゾーン別ADO[[#This Row],[品番]],2)="アル","アルヴェル",LEFT(_不良集計ゾーン別ADO[[#This Row],[品番]],2)="ノア","ノアヴォク",TRUE,"")</f>
        <v>アルヴェル</v>
      </c>
      <c r="U56" s="1"/>
    </row>
    <row r="57" spans="1:21" x14ac:dyDescent="0.45">
      <c r="A57">
        <v>53</v>
      </c>
      <c r="B57" s="16">
        <v>46028</v>
      </c>
      <c r="C57" s="1" t="s">
        <v>49</v>
      </c>
      <c r="D57" s="1" t="s">
        <v>199</v>
      </c>
      <c r="E57" s="1" t="s">
        <v>50</v>
      </c>
      <c r="F57" s="1" t="s">
        <v>4</v>
      </c>
      <c r="G57" s="1" t="s">
        <v>39</v>
      </c>
      <c r="H57" s="1">
        <v>1</v>
      </c>
      <c r="I57">
        <v>1</v>
      </c>
      <c r="J57" s="1" t="str" cm="1">
        <f t="array" ref="J57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ピンホール</v>
      </c>
      <c r="K57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ピンホール</v>
      </c>
      <c r="L57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モール</v>
      </c>
      <c r="M57" s="1" t="str" cm="1">
        <f t="array" ref="M57">_xlfn.XLOOKUP(TEXT(_不良集計ゾーン別ADO[[#This Row],[番号]],"@"),TEXT(_番号ADO[番号],"@"),_番号ADO[発生],"",0,1)</f>
        <v>塗装</v>
      </c>
      <c r="N57" s="1" t="str">
        <f>_xlfn.IFS(MID(_不良集計ゾーン別ADO[[#This Row],[品番]],3,2)="Fr","Fr",MID(_不良集計ゾーン別ADO[[#This Row],[品番]],3,2)="Rr","Rr",TRUE,"")</f>
        <v>Rr</v>
      </c>
      <c r="O57" s="1" t="str">
        <f>IF(ISBLANK(_不良集計ゾーン別ADO[[#This Row],[品番]]),"",RIGHT(_不良集計ゾーン別ADO[[#This Row],[品番]],2))</f>
        <v>RH</v>
      </c>
      <c r="P57" s="1" t="str">
        <f>_xlfn.IFS(LEFT(_不良集計ゾーン別ADO[[#This Row],[品番]],2)="アル","アルヴェル",LEFT(_不良集計ゾーン別ADO[[#This Row],[品番]],2)="ノア","ノアヴォク",TRUE,"")</f>
        <v>アルヴェル</v>
      </c>
      <c r="U57" s="1"/>
    </row>
    <row r="58" spans="1:21" x14ac:dyDescent="0.45">
      <c r="A58">
        <v>54</v>
      </c>
      <c r="B58" s="16">
        <v>46028</v>
      </c>
      <c r="C58" s="1" t="s">
        <v>35</v>
      </c>
      <c r="D58" s="1" t="s">
        <v>68</v>
      </c>
      <c r="E58" s="1" t="s">
        <v>36</v>
      </c>
      <c r="F58" s="1" t="s">
        <v>0</v>
      </c>
      <c r="G58" s="1" t="s">
        <v>52</v>
      </c>
      <c r="H58" s="1">
        <v>1</v>
      </c>
      <c r="I58">
        <v>0</v>
      </c>
      <c r="J58" s="1" t="str" cm="1">
        <f t="array" ref="J58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58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58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58" s="1" t="str" cm="1">
        <f t="array" ref="M58">_xlfn.XLOOKUP(TEXT(_不良集計ゾーン別ADO[[#This Row],[番号]],"@"),TEXT(_番号ADO[番号],"@"),_番号ADO[発生],"",0,1)</f>
        <v>成形</v>
      </c>
      <c r="N58" s="1" t="str">
        <f>_xlfn.IFS(MID(_不良集計ゾーン別ADO[[#This Row],[品番]],3,2)="Fr","Fr",MID(_不良集計ゾーン別ADO[[#This Row],[品番]],3,2)="Rr","Rr",TRUE,"")</f>
        <v>Fr</v>
      </c>
      <c r="O58" s="1" t="str">
        <f>IF(ISBLANK(_不良集計ゾーン別ADO[[#This Row],[品番]]),"",RIGHT(_不良集計ゾーン別ADO[[#This Row],[品番]],2))</f>
        <v>LH</v>
      </c>
      <c r="P58" s="1" t="str">
        <f>_xlfn.IFS(LEFT(_不良集計ゾーン別ADO[[#This Row],[品番]],2)="アル","アルヴェル",LEFT(_不良集計ゾーン別ADO[[#This Row],[品番]],2)="ノア","ノアヴォク",TRUE,"")</f>
        <v>ノアヴォク</v>
      </c>
      <c r="U58" s="1"/>
    </row>
    <row r="59" spans="1:21" x14ac:dyDescent="0.45">
      <c r="A59">
        <v>55</v>
      </c>
      <c r="B59" s="16">
        <v>46028</v>
      </c>
      <c r="C59" s="1" t="s">
        <v>41</v>
      </c>
      <c r="D59" s="1" t="s">
        <v>68</v>
      </c>
      <c r="E59" s="1" t="s">
        <v>36</v>
      </c>
      <c r="F59" s="1" t="s">
        <v>1</v>
      </c>
      <c r="G59" s="1" t="s">
        <v>84</v>
      </c>
      <c r="H59" s="1">
        <v>1</v>
      </c>
      <c r="I59">
        <v>0</v>
      </c>
      <c r="J59" s="1" t="str" cm="1">
        <f t="array" ref="J59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プライマー</v>
      </c>
      <c r="K59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プライマー</v>
      </c>
      <c r="L59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59" s="1" t="str" cm="1">
        <f t="array" ref="M59">_xlfn.XLOOKUP(TEXT(_不良集計ゾーン別ADO[[#This Row],[番号]],"@"),TEXT(_番号ADO[番号],"@"),_番号ADO[発生],"",0,1)</f>
        <v>加工</v>
      </c>
      <c r="N59" s="1" t="str">
        <f>_xlfn.IFS(MID(_不良集計ゾーン別ADO[[#This Row],[品番]],3,2)="Fr","Fr",MID(_不良集計ゾーン別ADO[[#This Row],[品番]],3,2)="Rr","Rr",TRUE,"")</f>
        <v>Fr</v>
      </c>
      <c r="O59" s="1" t="str">
        <f>IF(ISBLANK(_不良集計ゾーン別ADO[[#This Row],[品番]]),"",RIGHT(_不良集計ゾーン別ADO[[#This Row],[品番]],2))</f>
        <v>RH</v>
      </c>
      <c r="P59" s="1" t="str">
        <f>_xlfn.IFS(LEFT(_不良集計ゾーン別ADO[[#This Row],[品番]],2)="アル","アルヴェル",LEFT(_不良集計ゾーン別ADO[[#This Row],[品番]],2)="ノア","ノアヴォク",TRUE,"")</f>
        <v>ノアヴォク</v>
      </c>
      <c r="U59" s="1"/>
    </row>
    <row r="60" spans="1:21" x14ac:dyDescent="0.45">
      <c r="A60">
        <v>56</v>
      </c>
      <c r="B60" s="16">
        <v>46028</v>
      </c>
      <c r="C60" s="1" t="s">
        <v>42</v>
      </c>
      <c r="D60" s="1" t="s">
        <v>68</v>
      </c>
      <c r="E60" s="1" t="s">
        <v>36</v>
      </c>
      <c r="F60" s="1" t="s">
        <v>2</v>
      </c>
      <c r="G60" s="1" t="s">
        <v>84</v>
      </c>
      <c r="H60" s="1">
        <v>1</v>
      </c>
      <c r="I60">
        <v>0</v>
      </c>
      <c r="J60" s="1" t="str" cm="1">
        <f t="array" ref="J60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プライマー</v>
      </c>
      <c r="K60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プライマー</v>
      </c>
      <c r="L60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60" s="1" t="str" cm="1">
        <f t="array" ref="M60">_xlfn.XLOOKUP(TEXT(_不良集計ゾーン別ADO[[#This Row],[番号]],"@"),TEXT(_番号ADO[番号],"@"),_番号ADO[発生],"",0,1)</f>
        <v>加工</v>
      </c>
      <c r="N60" s="1" t="str">
        <f>_xlfn.IFS(MID(_不良集計ゾーン別ADO[[#This Row],[品番]],3,2)="Fr","Fr",MID(_不良集計ゾーン別ADO[[#This Row],[品番]],3,2)="Rr","Rr",TRUE,"")</f>
        <v>Rr</v>
      </c>
      <c r="O60" s="1" t="str">
        <f>IF(ISBLANK(_不良集計ゾーン別ADO[[#This Row],[品番]]),"",RIGHT(_不良集計ゾーン別ADO[[#This Row],[品番]],2))</f>
        <v>LH</v>
      </c>
      <c r="P60" s="1" t="str">
        <f>_xlfn.IFS(LEFT(_不良集計ゾーン別ADO[[#This Row],[品番]],2)="アル","アルヴェル",LEFT(_不良集計ゾーン別ADO[[#This Row],[品番]],2)="ノア","ノアヴォク",TRUE,"")</f>
        <v>ノアヴォク</v>
      </c>
      <c r="U60" s="1"/>
    </row>
    <row r="61" spans="1:21" x14ac:dyDescent="0.45">
      <c r="A61">
        <v>57</v>
      </c>
      <c r="B61" s="16">
        <v>46028</v>
      </c>
      <c r="C61" s="1" t="s">
        <v>43</v>
      </c>
      <c r="D61" s="1" t="s">
        <v>68</v>
      </c>
      <c r="E61" s="1" t="s">
        <v>36</v>
      </c>
      <c r="F61" s="1" t="s">
        <v>0</v>
      </c>
      <c r="G61" s="1" t="s">
        <v>84</v>
      </c>
      <c r="H61" s="1">
        <v>1</v>
      </c>
      <c r="I61">
        <v>0</v>
      </c>
      <c r="J61" s="1" t="str" cm="1">
        <f t="array" ref="J61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プライマー</v>
      </c>
      <c r="K61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プライマー</v>
      </c>
      <c r="L61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61" s="1" t="str" cm="1">
        <f t="array" ref="M61">_xlfn.XLOOKUP(TEXT(_不良集計ゾーン別ADO[[#This Row],[番号]],"@"),TEXT(_番号ADO[番号],"@"),_番号ADO[発生],"",0,1)</f>
        <v>加工</v>
      </c>
      <c r="N61" s="1" t="str">
        <f>_xlfn.IFS(MID(_不良集計ゾーン別ADO[[#This Row],[品番]],3,2)="Fr","Fr",MID(_不良集計ゾーン別ADO[[#This Row],[品番]],3,2)="Rr","Rr",TRUE,"")</f>
        <v>Rr</v>
      </c>
      <c r="O61" s="1" t="str">
        <f>IF(ISBLANK(_不良集計ゾーン別ADO[[#This Row],[品番]]),"",RIGHT(_不良集計ゾーン別ADO[[#This Row],[品番]],2))</f>
        <v>RH</v>
      </c>
      <c r="P61" s="1" t="str">
        <f>_xlfn.IFS(LEFT(_不良集計ゾーン別ADO[[#This Row],[品番]],2)="アル","アルヴェル",LEFT(_不良集計ゾーン別ADO[[#This Row],[品番]],2)="ノア","ノアヴォク",TRUE,"")</f>
        <v>ノアヴォク</v>
      </c>
      <c r="U61" s="1"/>
    </row>
    <row r="62" spans="1:21" x14ac:dyDescent="0.45">
      <c r="A62">
        <v>58</v>
      </c>
      <c r="B62" s="16">
        <v>46029</v>
      </c>
      <c r="C62" s="1" t="s">
        <v>44</v>
      </c>
      <c r="D62" s="1" t="s">
        <v>182</v>
      </c>
      <c r="E62" s="1" t="s">
        <v>50</v>
      </c>
      <c r="F62" s="1" t="s">
        <v>0</v>
      </c>
      <c r="G62" s="1" t="s">
        <v>48</v>
      </c>
      <c r="H62" s="1">
        <v>1</v>
      </c>
      <c r="I62">
        <v>0</v>
      </c>
      <c r="J62" s="1" t="str" cm="1">
        <f t="array" ref="J62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プライマー</v>
      </c>
      <c r="K62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プライマー</v>
      </c>
      <c r="L62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モール</v>
      </c>
      <c r="M62" s="1" t="str" cm="1">
        <f t="array" ref="M62">_xlfn.XLOOKUP(TEXT(_不良集計ゾーン別ADO[[#This Row],[番号]],"@"),TEXT(_番号ADO[番号],"@"),_番号ADO[発生],"",0,1)</f>
        <v>モール</v>
      </c>
      <c r="N62" s="1" t="str">
        <f>_xlfn.IFS(MID(_不良集計ゾーン別ADO[[#This Row],[品番]],3,2)="Fr","Fr",MID(_不良集計ゾーン別ADO[[#This Row],[品番]],3,2)="Rr","Rr",TRUE,"")</f>
        <v>Fr</v>
      </c>
      <c r="O62" s="1" t="str">
        <f>IF(ISBLANK(_不良集計ゾーン別ADO[[#This Row],[品番]]),"",RIGHT(_不良集計ゾーン別ADO[[#This Row],[品番]],2))</f>
        <v>LH</v>
      </c>
      <c r="P62" s="1" t="str">
        <f>_xlfn.IFS(LEFT(_不良集計ゾーン別ADO[[#This Row],[品番]],2)="アル","アルヴェル",LEFT(_不良集計ゾーン別ADO[[#This Row],[品番]],2)="ノア","ノアヴォク",TRUE,"")</f>
        <v>アルヴェル</v>
      </c>
      <c r="U62" s="1"/>
    </row>
    <row r="63" spans="1:21" x14ac:dyDescent="0.45">
      <c r="A63">
        <v>59</v>
      </c>
      <c r="B63" s="16">
        <v>46029</v>
      </c>
      <c r="C63" s="1" t="s">
        <v>44</v>
      </c>
      <c r="D63" s="1" t="s">
        <v>182</v>
      </c>
      <c r="E63" s="1" t="s">
        <v>50</v>
      </c>
      <c r="F63" s="1" t="s">
        <v>0</v>
      </c>
      <c r="G63" s="1" t="s">
        <v>52</v>
      </c>
      <c r="H63" s="1">
        <v>1</v>
      </c>
      <c r="I63">
        <v>0</v>
      </c>
      <c r="J63" s="1" t="str" cm="1">
        <f t="array" ref="J63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63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63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モール</v>
      </c>
      <c r="M63" s="1" t="str" cm="1">
        <f t="array" ref="M63">_xlfn.XLOOKUP(TEXT(_不良集計ゾーン別ADO[[#This Row],[番号]],"@"),TEXT(_番号ADO[番号],"@"),_番号ADO[発生],"",0,1)</f>
        <v>成形</v>
      </c>
      <c r="N63" s="1" t="str">
        <f>_xlfn.IFS(MID(_不良集計ゾーン別ADO[[#This Row],[品番]],3,2)="Fr","Fr",MID(_不良集計ゾーン別ADO[[#This Row],[品番]],3,2)="Rr","Rr",TRUE,"")</f>
        <v>Fr</v>
      </c>
      <c r="O63" s="1" t="str">
        <f>IF(ISBLANK(_不良集計ゾーン別ADO[[#This Row],[品番]]),"",RIGHT(_不良集計ゾーン別ADO[[#This Row],[品番]],2))</f>
        <v>LH</v>
      </c>
      <c r="P63" s="1" t="str">
        <f>_xlfn.IFS(LEFT(_不良集計ゾーン別ADO[[#This Row],[品番]],2)="アル","アルヴェル",LEFT(_不良集計ゾーン別ADO[[#This Row],[品番]],2)="ノア","ノアヴォク",TRUE,"")</f>
        <v>アルヴェル</v>
      </c>
      <c r="U63" s="1"/>
    </row>
    <row r="64" spans="1:21" x14ac:dyDescent="0.45">
      <c r="A64">
        <v>60</v>
      </c>
      <c r="B64" s="16">
        <v>46029</v>
      </c>
      <c r="C64" s="1" t="s">
        <v>54</v>
      </c>
      <c r="D64" s="1" t="s">
        <v>182</v>
      </c>
      <c r="E64" s="1" t="s">
        <v>50</v>
      </c>
      <c r="F64" s="1" t="s">
        <v>2</v>
      </c>
      <c r="G64" s="1" t="s">
        <v>48</v>
      </c>
      <c r="H64" s="1">
        <v>1</v>
      </c>
      <c r="I64">
        <v>0</v>
      </c>
      <c r="J64" s="1" t="str" cm="1">
        <f t="array" ref="J64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プライマー</v>
      </c>
      <c r="K64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プライマー</v>
      </c>
      <c r="L64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モール</v>
      </c>
      <c r="M64" s="1" t="str" cm="1">
        <f t="array" ref="M64">_xlfn.XLOOKUP(TEXT(_不良集計ゾーン別ADO[[#This Row],[番号]],"@"),TEXT(_番号ADO[番号],"@"),_番号ADO[発生],"",0,1)</f>
        <v>モール</v>
      </c>
      <c r="N64" s="1" t="str">
        <f>_xlfn.IFS(MID(_不良集計ゾーン別ADO[[#This Row],[品番]],3,2)="Fr","Fr",MID(_不良集計ゾーン別ADO[[#This Row],[品番]],3,2)="Rr","Rr",TRUE,"")</f>
        <v>Fr</v>
      </c>
      <c r="O64" s="1" t="str">
        <f>IF(ISBLANK(_不良集計ゾーン別ADO[[#This Row],[品番]]),"",RIGHT(_不良集計ゾーン別ADO[[#This Row],[品番]],2))</f>
        <v>RH</v>
      </c>
      <c r="P64" s="1" t="str">
        <f>_xlfn.IFS(LEFT(_不良集計ゾーン別ADO[[#This Row],[品番]],2)="アル","アルヴェル",LEFT(_不良集計ゾーン別ADO[[#This Row],[品番]],2)="ノア","ノアヴォク",TRUE,"")</f>
        <v>アルヴェル</v>
      </c>
      <c r="U64" s="1"/>
    </row>
    <row r="65" spans="1:21" x14ac:dyDescent="0.45">
      <c r="A65">
        <v>61</v>
      </c>
      <c r="B65" s="16">
        <v>46029</v>
      </c>
      <c r="C65" s="1" t="s">
        <v>46</v>
      </c>
      <c r="D65" s="1" t="s">
        <v>182</v>
      </c>
      <c r="E65" s="1" t="s">
        <v>50</v>
      </c>
      <c r="F65" s="1" t="s">
        <v>4</v>
      </c>
      <c r="G65" s="1" t="s">
        <v>52</v>
      </c>
      <c r="H65" s="1">
        <v>1</v>
      </c>
      <c r="I65">
        <v>0</v>
      </c>
      <c r="J65" s="1" t="str" cm="1">
        <f t="array" ref="J65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65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65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モール</v>
      </c>
      <c r="M65" s="1" t="str" cm="1">
        <f t="array" ref="M65">_xlfn.XLOOKUP(TEXT(_不良集計ゾーン別ADO[[#This Row],[番号]],"@"),TEXT(_番号ADO[番号],"@"),_番号ADO[発生],"",0,1)</f>
        <v>成形</v>
      </c>
      <c r="N65" s="1" t="str">
        <f>_xlfn.IFS(MID(_不良集計ゾーン別ADO[[#This Row],[品番]],3,2)="Fr","Fr",MID(_不良集計ゾーン別ADO[[#This Row],[品番]],3,2)="Rr","Rr",TRUE,"")</f>
        <v>Rr</v>
      </c>
      <c r="O65" s="1" t="str">
        <f>IF(ISBLANK(_不良集計ゾーン別ADO[[#This Row],[品番]]),"",RIGHT(_不良集計ゾーン別ADO[[#This Row],[品番]],2))</f>
        <v>LH</v>
      </c>
      <c r="P65" s="1" t="str">
        <f>_xlfn.IFS(LEFT(_不良集計ゾーン別ADO[[#This Row],[品番]],2)="アル","アルヴェル",LEFT(_不良集計ゾーン別ADO[[#This Row],[品番]],2)="ノア","ノアヴォク",TRUE,"")</f>
        <v>アルヴェル</v>
      </c>
      <c r="U65" s="1"/>
    </row>
    <row r="66" spans="1:21" x14ac:dyDescent="0.45">
      <c r="A66">
        <v>62</v>
      </c>
      <c r="B66" s="16">
        <v>46029</v>
      </c>
      <c r="C66" s="1" t="s">
        <v>35</v>
      </c>
      <c r="D66" s="1" t="s">
        <v>88</v>
      </c>
      <c r="E66" s="1" t="s">
        <v>57</v>
      </c>
      <c r="F66" s="1" t="s">
        <v>3</v>
      </c>
      <c r="G66" s="1" t="s">
        <v>64</v>
      </c>
      <c r="H66" s="1">
        <v>2</v>
      </c>
      <c r="I66">
        <v>0</v>
      </c>
      <c r="J66" s="1" t="str" cm="1">
        <f t="array" ref="J66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ウエルド</v>
      </c>
      <c r="K66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ウエルド</v>
      </c>
      <c r="L66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66" s="1" t="str" cm="1">
        <f t="array" ref="M66">_xlfn.XLOOKUP(TEXT(_不良集計ゾーン別ADO[[#This Row],[番号]],"@"),TEXT(_番号ADO[番号],"@"),_番号ADO[発生],"",0,1)</f>
        <v>成形</v>
      </c>
      <c r="N66" s="1" t="str">
        <f>_xlfn.IFS(MID(_不良集計ゾーン別ADO[[#This Row],[品番]],3,2)="Fr","Fr",MID(_不良集計ゾーン別ADO[[#This Row],[品番]],3,2)="Rr","Rr",TRUE,"")</f>
        <v>Fr</v>
      </c>
      <c r="O66" s="1" t="str">
        <f>IF(ISBLANK(_不良集計ゾーン別ADO[[#This Row],[品番]]),"",RIGHT(_不良集計ゾーン別ADO[[#This Row],[品番]],2))</f>
        <v>LH</v>
      </c>
      <c r="P66" s="1" t="str">
        <f>_xlfn.IFS(LEFT(_不良集計ゾーン別ADO[[#This Row],[品番]],2)="アル","アルヴェル",LEFT(_不良集計ゾーン別ADO[[#This Row],[品番]],2)="ノア","ノアヴォク",TRUE,"")</f>
        <v>ノアヴォク</v>
      </c>
      <c r="U66" s="1"/>
    </row>
    <row r="67" spans="1:21" x14ac:dyDescent="0.45">
      <c r="A67">
        <v>63</v>
      </c>
      <c r="B67" s="16">
        <v>46029</v>
      </c>
      <c r="C67" s="1" t="s">
        <v>35</v>
      </c>
      <c r="D67" s="1" t="s">
        <v>88</v>
      </c>
      <c r="E67" s="1" t="s">
        <v>57</v>
      </c>
      <c r="F67" s="1" t="s">
        <v>2</v>
      </c>
      <c r="G67" s="1" t="s">
        <v>96</v>
      </c>
      <c r="H67" s="1">
        <v>4</v>
      </c>
      <c r="I67">
        <v>0</v>
      </c>
      <c r="J67" s="1" t="str" cm="1">
        <f t="array" ref="J67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打出し不良</v>
      </c>
      <c r="K67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打出し不良</v>
      </c>
      <c r="L67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67" s="1" t="str" cm="1">
        <f t="array" ref="M67">_xlfn.XLOOKUP(TEXT(_不良集計ゾーン別ADO[[#This Row],[番号]],"@"),TEXT(_番号ADO[番号],"@"),_番号ADO[発生],"",0,1)</f>
        <v>成形</v>
      </c>
      <c r="N67" s="1" t="str">
        <f>_xlfn.IFS(MID(_不良集計ゾーン別ADO[[#This Row],[品番]],3,2)="Fr","Fr",MID(_不良集計ゾーン別ADO[[#This Row],[品番]],3,2)="Rr","Rr",TRUE,"")</f>
        <v>Fr</v>
      </c>
      <c r="O67" s="1" t="str">
        <f>IF(ISBLANK(_不良集計ゾーン別ADO[[#This Row],[品番]]),"",RIGHT(_不良集計ゾーン別ADO[[#This Row],[品番]],2))</f>
        <v>LH</v>
      </c>
      <c r="P67" s="1" t="str">
        <f>_xlfn.IFS(LEFT(_不良集計ゾーン別ADO[[#This Row],[品番]],2)="アル","アルヴェル",LEFT(_不良集計ゾーン別ADO[[#This Row],[品番]],2)="ノア","ノアヴォク",TRUE,"")</f>
        <v>ノアヴォク</v>
      </c>
      <c r="U67" s="1"/>
    </row>
    <row r="68" spans="1:21" x14ac:dyDescent="0.45">
      <c r="A68">
        <v>64</v>
      </c>
      <c r="B68" s="16">
        <v>46029</v>
      </c>
      <c r="C68" s="1" t="s">
        <v>35</v>
      </c>
      <c r="D68" s="1" t="s">
        <v>88</v>
      </c>
      <c r="E68" s="1" t="s">
        <v>57</v>
      </c>
      <c r="F68" s="1" t="s">
        <v>2</v>
      </c>
      <c r="G68" s="1" t="s">
        <v>98</v>
      </c>
      <c r="H68" s="1">
        <v>1</v>
      </c>
      <c r="I68">
        <v>0</v>
      </c>
      <c r="J68" s="1" t="str" cm="1">
        <f t="array" ref="J68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取出し不良</v>
      </c>
      <c r="K68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取出し不良</v>
      </c>
      <c r="L68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68" s="1" t="str" cm="1">
        <f t="array" ref="M68">_xlfn.XLOOKUP(TEXT(_不良集計ゾーン別ADO[[#This Row],[番号]],"@"),TEXT(_番号ADO[番号],"@"),_番号ADO[発生],"",0,1)</f>
        <v>成形</v>
      </c>
      <c r="N68" s="1" t="str">
        <f>_xlfn.IFS(MID(_不良集計ゾーン別ADO[[#This Row],[品番]],3,2)="Fr","Fr",MID(_不良集計ゾーン別ADO[[#This Row],[品番]],3,2)="Rr","Rr",TRUE,"")</f>
        <v>Fr</v>
      </c>
      <c r="O68" s="1" t="str">
        <f>IF(ISBLANK(_不良集計ゾーン別ADO[[#This Row],[品番]]),"",RIGHT(_不良集計ゾーン別ADO[[#This Row],[品番]],2))</f>
        <v>LH</v>
      </c>
      <c r="P68" s="1" t="str">
        <f>_xlfn.IFS(LEFT(_不良集計ゾーン別ADO[[#This Row],[品番]],2)="アル","アルヴェル",LEFT(_不良集計ゾーン別ADO[[#This Row],[品番]],2)="ノア","ノアヴォク",TRUE,"")</f>
        <v>ノアヴォク</v>
      </c>
      <c r="U68" s="1"/>
    </row>
    <row r="69" spans="1:21" x14ac:dyDescent="0.45">
      <c r="A69">
        <v>65</v>
      </c>
      <c r="B69" s="16">
        <v>46029</v>
      </c>
      <c r="C69" s="1" t="s">
        <v>35</v>
      </c>
      <c r="D69" s="1" t="s">
        <v>88</v>
      </c>
      <c r="E69" s="1" t="s">
        <v>57</v>
      </c>
      <c r="F69" s="1" t="s">
        <v>2</v>
      </c>
      <c r="G69" s="1" t="s">
        <v>72</v>
      </c>
      <c r="H69" s="1">
        <v>1</v>
      </c>
      <c r="I69">
        <v>0</v>
      </c>
      <c r="J69" s="1" t="str" cm="1">
        <f t="array" ref="J69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シルバー</v>
      </c>
      <c r="K69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シルバー</v>
      </c>
      <c r="L69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69" s="1" t="str" cm="1">
        <f t="array" ref="M69">_xlfn.XLOOKUP(TEXT(_不良集計ゾーン別ADO[[#This Row],[番号]],"@"),TEXT(_番号ADO[番号],"@"),_番号ADO[発生],"",0,1)</f>
        <v>成形</v>
      </c>
      <c r="N69" s="1" t="str">
        <f>_xlfn.IFS(MID(_不良集計ゾーン別ADO[[#This Row],[品番]],3,2)="Fr","Fr",MID(_不良集計ゾーン別ADO[[#This Row],[品番]],3,2)="Rr","Rr",TRUE,"")</f>
        <v>Fr</v>
      </c>
      <c r="O69" s="1" t="str">
        <f>IF(ISBLANK(_不良集計ゾーン別ADO[[#This Row],[品番]]),"",RIGHT(_不良集計ゾーン別ADO[[#This Row],[品番]],2))</f>
        <v>LH</v>
      </c>
      <c r="P69" s="1" t="str">
        <f>_xlfn.IFS(LEFT(_不良集計ゾーン別ADO[[#This Row],[品番]],2)="アル","アルヴェル",LEFT(_不良集計ゾーン別ADO[[#This Row],[品番]],2)="ノア","ノアヴォク",TRUE,"")</f>
        <v>ノアヴォク</v>
      </c>
      <c r="U69" s="1"/>
    </row>
    <row r="70" spans="1:21" x14ac:dyDescent="0.45">
      <c r="A70">
        <v>66</v>
      </c>
      <c r="B70" s="16">
        <v>46029</v>
      </c>
      <c r="C70" s="1" t="s">
        <v>35</v>
      </c>
      <c r="D70" s="1" t="s">
        <v>88</v>
      </c>
      <c r="E70" s="1" t="s">
        <v>57</v>
      </c>
      <c r="F70" s="1" t="s">
        <v>1</v>
      </c>
      <c r="G70" s="1" t="s">
        <v>64</v>
      </c>
      <c r="H70" s="1">
        <v>2</v>
      </c>
      <c r="I70">
        <v>0</v>
      </c>
      <c r="J70" s="1" t="str" cm="1">
        <f t="array" ref="J70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ウエルド</v>
      </c>
      <c r="K70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ウエルド</v>
      </c>
      <c r="L70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70" s="1" t="str" cm="1">
        <f t="array" ref="M70">_xlfn.XLOOKUP(TEXT(_不良集計ゾーン別ADO[[#This Row],[番号]],"@"),TEXT(_番号ADO[番号],"@"),_番号ADO[発生],"",0,1)</f>
        <v>成形</v>
      </c>
      <c r="N70" s="1" t="str">
        <f>_xlfn.IFS(MID(_不良集計ゾーン別ADO[[#This Row],[品番]],3,2)="Fr","Fr",MID(_不良集計ゾーン別ADO[[#This Row],[品番]],3,2)="Rr","Rr",TRUE,"")</f>
        <v>Fr</v>
      </c>
      <c r="O70" s="1" t="str">
        <f>IF(ISBLANK(_不良集計ゾーン別ADO[[#This Row],[品番]]),"",RIGHT(_不良集計ゾーン別ADO[[#This Row],[品番]],2))</f>
        <v>LH</v>
      </c>
      <c r="P70" s="1" t="str">
        <f>_xlfn.IFS(LEFT(_不良集計ゾーン別ADO[[#This Row],[品番]],2)="アル","アルヴェル",LEFT(_不良集計ゾーン別ADO[[#This Row],[品番]],2)="ノア","ノアヴォク",TRUE,"")</f>
        <v>ノアヴォク</v>
      </c>
      <c r="U70" s="1"/>
    </row>
    <row r="71" spans="1:21" x14ac:dyDescent="0.45">
      <c r="A71">
        <v>67</v>
      </c>
      <c r="B71" s="16">
        <v>46029</v>
      </c>
      <c r="C71" s="1" t="s">
        <v>41</v>
      </c>
      <c r="D71" s="1" t="s">
        <v>88</v>
      </c>
      <c r="E71" s="1" t="s">
        <v>57</v>
      </c>
      <c r="F71" s="1" t="s">
        <v>2</v>
      </c>
      <c r="G71" s="1" t="s">
        <v>64</v>
      </c>
      <c r="H71" s="1">
        <v>1</v>
      </c>
      <c r="I71">
        <v>0</v>
      </c>
      <c r="J71" s="1" t="str" cm="1">
        <f t="array" ref="J71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ウエルド</v>
      </c>
      <c r="K71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ウエルド</v>
      </c>
      <c r="L71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71" s="1" t="str" cm="1">
        <f t="array" ref="M71">_xlfn.XLOOKUP(TEXT(_不良集計ゾーン別ADO[[#This Row],[番号]],"@"),TEXT(_番号ADO[番号],"@"),_番号ADO[発生],"",0,1)</f>
        <v>成形</v>
      </c>
      <c r="N71" s="1" t="str">
        <f>_xlfn.IFS(MID(_不良集計ゾーン別ADO[[#This Row],[品番]],3,2)="Fr","Fr",MID(_不良集計ゾーン別ADO[[#This Row],[品番]],3,2)="Rr","Rr",TRUE,"")</f>
        <v>Fr</v>
      </c>
      <c r="O71" s="1" t="str">
        <f>IF(ISBLANK(_不良集計ゾーン別ADO[[#This Row],[品番]]),"",RIGHT(_不良集計ゾーン別ADO[[#This Row],[品番]],2))</f>
        <v>RH</v>
      </c>
      <c r="P71" s="1" t="str">
        <f>_xlfn.IFS(LEFT(_不良集計ゾーン別ADO[[#This Row],[品番]],2)="アル","アルヴェル",LEFT(_不良集計ゾーン別ADO[[#This Row],[品番]],2)="ノア","ノアヴォク",TRUE,"")</f>
        <v>ノアヴォク</v>
      </c>
      <c r="U71" s="1"/>
    </row>
    <row r="72" spans="1:21" x14ac:dyDescent="0.45">
      <c r="A72">
        <v>68</v>
      </c>
      <c r="B72" s="16">
        <v>46029</v>
      </c>
      <c r="C72" s="1" t="s">
        <v>41</v>
      </c>
      <c r="D72" s="1" t="s">
        <v>88</v>
      </c>
      <c r="E72" s="1" t="s">
        <v>57</v>
      </c>
      <c r="F72" s="1" t="s">
        <v>2</v>
      </c>
      <c r="G72" s="1" t="s">
        <v>96</v>
      </c>
      <c r="H72" s="1">
        <v>4</v>
      </c>
      <c r="I72">
        <v>0</v>
      </c>
      <c r="J72" s="1" t="str" cm="1">
        <f t="array" ref="J72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打出し不良</v>
      </c>
      <c r="K72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打出し不良</v>
      </c>
      <c r="L72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72" s="1" t="str" cm="1">
        <f t="array" ref="M72">_xlfn.XLOOKUP(TEXT(_不良集計ゾーン別ADO[[#This Row],[番号]],"@"),TEXT(_番号ADO[番号],"@"),_番号ADO[発生],"",0,1)</f>
        <v>成形</v>
      </c>
      <c r="N72" s="1" t="str">
        <f>_xlfn.IFS(MID(_不良集計ゾーン別ADO[[#This Row],[品番]],3,2)="Fr","Fr",MID(_不良集計ゾーン別ADO[[#This Row],[品番]],3,2)="Rr","Rr",TRUE,"")</f>
        <v>Fr</v>
      </c>
      <c r="O72" s="1" t="str">
        <f>IF(ISBLANK(_不良集計ゾーン別ADO[[#This Row],[品番]]),"",RIGHT(_不良集計ゾーン別ADO[[#This Row],[品番]],2))</f>
        <v>RH</v>
      </c>
      <c r="P72" s="1" t="str">
        <f>_xlfn.IFS(LEFT(_不良集計ゾーン別ADO[[#This Row],[品番]],2)="アル","アルヴェル",LEFT(_不良集計ゾーン別ADO[[#This Row],[品番]],2)="ノア","ノアヴォク",TRUE,"")</f>
        <v>ノアヴォク</v>
      </c>
      <c r="U72" s="1"/>
    </row>
    <row r="73" spans="1:21" x14ac:dyDescent="0.45">
      <c r="A73">
        <v>69</v>
      </c>
      <c r="B73" s="16">
        <v>46029</v>
      </c>
      <c r="C73" s="1" t="s">
        <v>41</v>
      </c>
      <c r="D73" s="1" t="s">
        <v>88</v>
      </c>
      <c r="E73" s="1" t="s">
        <v>57</v>
      </c>
      <c r="F73" s="1" t="s">
        <v>2</v>
      </c>
      <c r="G73" s="1" t="s">
        <v>98</v>
      </c>
      <c r="H73" s="1">
        <v>1</v>
      </c>
      <c r="I73">
        <v>0</v>
      </c>
      <c r="J73" s="1" t="str" cm="1">
        <f t="array" ref="J73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取出し不良</v>
      </c>
      <c r="K73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取出し不良</v>
      </c>
      <c r="L73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73" s="1" t="str" cm="1">
        <f t="array" ref="M73">_xlfn.XLOOKUP(TEXT(_不良集計ゾーン別ADO[[#This Row],[番号]],"@"),TEXT(_番号ADO[番号],"@"),_番号ADO[発生],"",0,1)</f>
        <v>成形</v>
      </c>
      <c r="N73" s="1" t="str">
        <f>_xlfn.IFS(MID(_不良集計ゾーン別ADO[[#This Row],[品番]],3,2)="Fr","Fr",MID(_不良集計ゾーン別ADO[[#This Row],[品番]],3,2)="Rr","Rr",TRUE,"")</f>
        <v>Fr</v>
      </c>
      <c r="O73" s="1" t="str">
        <f>IF(ISBLANK(_不良集計ゾーン別ADO[[#This Row],[品番]]),"",RIGHT(_不良集計ゾーン別ADO[[#This Row],[品番]],2))</f>
        <v>RH</v>
      </c>
      <c r="P73" s="1" t="str">
        <f>_xlfn.IFS(LEFT(_不良集計ゾーン別ADO[[#This Row],[品番]],2)="アル","アルヴェル",LEFT(_不良集計ゾーン別ADO[[#This Row],[品番]],2)="ノア","ノアヴォク",TRUE,"")</f>
        <v>ノアヴォク</v>
      </c>
      <c r="U73" s="1"/>
    </row>
    <row r="74" spans="1:21" x14ac:dyDescent="0.45">
      <c r="A74">
        <v>70</v>
      </c>
      <c r="B74" s="16">
        <v>46029</v>
      </c>
      <c r="C74" s="1" t="s">
        <v>41</v>
      </c>
      <c r="D74" s="1" t="s">
        <v>88</v>
      </c>
      <c r="E74" s="1" t="s">
        <v>57</v>
      </c>
      <c r="F74" s="1" t="s">
        <v>3</v>
      </c>
      <c r="G74" s="1" t="s">
        <v>64</v>
      </c>
      <c r="H74" s="1">
        <v>1</v>
      </c>
      <c r="I74">
        <v>0</v>
      </c>
      <c r="J74" s="1" t="str" cm="1">
        <f t="array" ref="J74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ウエルド</v>
      </c>
      <c r="K74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ウエルド</v>
      </c>
      <c r="L74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74" s="1" t="str" cm="1">
        <f t="array" ref="M74">_xlfn.XLOOKUP(TEXT(_不良集計ゾーン別ADO[[#This Row],[番号]],"@"),TEXT(_番号ADO[番号],"@"),_番号ADO[発生],"",0,1)</f>
        <v>成形</v>
      </c>
      <c r="N74" s="1" t="str">
        <f>_xlfn.IFS(MID(_不良集計ゾーン別ADO[[#This Row],[品番]],3,2)="Fr","Fr",MID(_不良集計ゾーン別ADO[[#This Row],[品番]],3,2)="Rr","Rr",TRUE,"")</f>
        <v>Fr</v>
      </c>
      <c r="O74" s="1" t="str">
        <f>IF(ISBLANK(_不良集計ゾーン別ADO[[#This Row],[品番]]),"",RIGHT(_不良集計ゾーン別ADO[[#This Row],[品番]],2))</f>
        <v>RH</v>
      </c>
      <c r="P74" s="1" t="str">
        <f>_xlfn.IFS(LEFT(_不良集計ゾーン別ADO[[#This Row],[品番]],2)="アル","アルヴェル",LEFT(_不良集計ゾーン別ADO[[#This Row],[品番]],2)="ノア","ノアヴォク",TRUE,"")</f>
        <v>ノアヴォク</v>
      </c>
      <c r="U74" s="1"/>
    </row>
    <row r="75" spans="1:21" x14ac:dyDescent="0.45">
      <c r="A75">
        <v>71</v>
      </c>
      <c r="B75" s="16">
        <v>46031</v>
      </c>
      <c r="C75" s="1" t="s">
        <v>46</v>
      </c>
      <c r="D75" s="1" t="s">
        <v>192</v>
      </c>
      <c r="E75" s="1" t="s">
        <v>57</v>
      </c>
      <c r="F75" s="1" t="s">
        <v>2</v>
      </c>
      <c r="G75" s="1" t="s">
        <v>96</v>
      </c>
      <c r="H75" s="1">
        <v>2</v>
      </c>
      <c r="I75">
        <v>0</v>
      </c>
      <c r="J75" s="1" t="str" cm="1">
        <f t="array" ref="J75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打出し不良</v>
      </c>
      <c r="K75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打出し不良</v>
      </c>
      <c r="L75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75" s="1" t="str" cm="1">
        <f t="array" ref="M75">_xlfn.XLOOKUP(TEXT(_不良集計ゾーン別ADO[[#This Row],[番号]],"@"),TEXT(_番号ADO[番号],"@"),_番号ADO[発生],"",0,1)</f>
        <v>成形</v>
      </c>
      <c r="N75" s="1" t="str">
        <f>_xlfn.IFS(MID(_不良集計ゾーン別ADO[[#This Row],[品番]],3,2)="Fr","Fr",MID(_不良集計ゾーン別ADO[[#This Row],[品番]],3,2)="Rr","Rr",TRUE,"")</f>
        <v>Rr</v>
      </c>
      <c r="O75" s="1" t="str">
        <f>IF(ISBLANK(_不良集計ゾーン別ADO[[#This Row],[品番]]),"",RIGHT(_不良集計ゾーン別ADO[[#This Row],[品番]],2))</f>
        <v>LH</v>
      </c>
      <c r="P75" s="1" t="str">
        <f>_xlfn.IFS(LEFT(_不良集計ゾーン別ADO[[#This Row],[品番]],2)="アル","アルヴェル",LEFT(_不良集計ゾーン別ADO[[#This Row],[品番]],2)="ノア","ノアヴォク",TRUE,"")</f>
        <v>アルヴェル</v>
      </c>
      <c r="U75" s="1"/>
    </row>
    <row r="76" spans="1:21" x14ac:dyDescent="0.45">
      <c r="A76">
        <v>72</v>
      </c>
      <c r="B76" s="16">
        <v>46031</v>
      </c>
      <c r="C76" s="1" t="s">
        <v>49</v>
      </c>
      <c r="D76" s="1" t="s">
        <v>192</v>
      </c>
      <c r="E76" s="1" t="s">
        <v>57</v>
      </c>
      <c r="F76" s="1" t="s">
        <v>2</v>
      </c>
      <c r="G76" s="1" t="s">
        <v>96</v>
      </c>
      <c r="H76" s="1">
        <v>2</v>
      </c>
      <c r="I76">
        <v>0</v>
      </c>
      <c r="J76" s="1" t="str" cm="1">
        <f t="array" ref="J76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打出し不良</v>
      </c>
      <c r="K76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打出し不良</v>
      </c>
      <c r="L76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76" s="1" t="str" cm="1">
        <f t="array" ref="M76">_xlfn.XLOOKUP(TEXT(_不良集計ゾーン別ADO[[#This Row],[番号]],"@"),TEXT(_番号ADO[番号],"@"),_番号ADO[発生],"",0,1)</f>
        <v>成形</v>
      </c>
      <c r="N76" s="1" t="str">
        <f>_xlfn.IFS(MID(_不良集計ゾーン別ADO[[#This Row],[品番]],3,2)="Fr","Fr",MID(_不良集計ゾーン別ADO[[#This Row],[品番]],3,2)="Rr","Rr",TRUE,"")</f>
        <v>Rr</v>
      </c>
      <c r="O76" s="1" t="str">
        <f>IF(ISBLANK(_不良集計ゾーン別ADO[[#This Row],[品番]]),"",RIGHT(_不良集計ゾーン別ADO[[#This Row],[品番]],2))</f>
        <v>RH</v>
      </c>
      <c r="P76" s="1" t="str">
        <f>_xlfn.IFS(LEFT(_不良集計ゾーン別ADO[[#This Row],[品番]],2)="アル","アルヴェル",LEFT(_不良集計ゾーン別ADO[[#This Row],[品番]],2)="ノア","ノアヴォク",TRUE,"")</f>
        <v>アルヴェル</v>
      </c>
      <c r="U76" s="1"/>
    </row>
    <row r="77" spans="1:21" x14ac:dyDescent="0.45">
      <c r="A77">
        <v>73</v>
      </c>
      <c r="B77" s="16">
        <v>46030</v>
      </c>
      <c r="C77" s="1" t="s">
        <v>42</v>
      </c>
      <c r="D77" s="1" t="s">
        <v>88</v>
      </c>
      <c r="E77" s="1" t="s">
        <v>55</v>
      </c>
      <c r="F77" s="1" t="s">
        <v>3</v>
      </c>
      <c r="G77" s="1" t="s">
        <v>62</v>
      </c>
      <c r="H77" s="1">
        <v>1</v>
      </c>
      <c r="I77">
        <v>0</v>
      </c>
      <c r="J77" s="1" t="str" cm="1">
        <f t="array" ref="J77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塗装異物</v>
      </c>
      <c r="K77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塗装異物</v>
      </c>
      <c r="L77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塗装</v>
      </c>
      <c r="M77" s="1" t="str" cm="1">
        <f t="array" ref="M77">_xlfn.XLOOKUP(TEXT(_不良集計ゾーン別ADO[[#This Row],[番号]],"@"),TEXT(_番号ADO[番号],"@"),_番号ADO[発生],"",0,1)</f>
        <v>塗装</v>
      </c>
      <c r="N77" s="1" t="str">
        <f>_xlfn.IFS(MID(_不良集計ゾーン別ADO[[#This Row],[品番]],3,2)="Fr","Fr",MID(_不良集計ゾーン別ADO[[#This Row],[品番]],3,2)="Rr","Rr",TRUE,"")</f>
        <v>Rr</v>
      </c>
      <c r="O77" s="1" t="str">
        <f>IF(ISBLANK(_不良集計ゾーン別ADO[[#This Row],[品番]]),"",RIGHT(_不良集計ゾーン別ADO[[#This Row],[品番]],2))</f>
        <v>LH</v>
      </c>
      <c r="P77" s="1" t="str">
        <f>_xlfn.IFS(LEFT(_不良集計ゾーン別ADO[[#This Row],[品番]],2)="アル","アルヴェル",LEFT(_不良集計ゾーン別ADO[[#This Row],[品番]],2)="ノア","ノアヴォク",TRUE,"")</f>
        <v>ノアヴォク</v>
      </c>
      <c r="U77" s="1"/>
    </row>
    <row r="78" spans="1:21" x14ac:dyDescent="0.45">
      <c r="A78">
        <v>74</v>
      </c>
      <c r="B78" s="16">
        <v>46030</v>
      </c>
      <c r="C78" s="1" t="s">
        <v>43</v>
      </c>
      <c r="D78" s="1" t="s">
        <v>88</v>
      </c>
      <c r="E78" s="1" t="s">
        <v>55</v>
      </c>
      <c r="F78" s="1" t="s">
        <v>2</v>
      </c>
      <c r="G78" s="1" t="s">
        <v>56</v>
      </c>
      <c r="H78" s="1">
        <v>1</v>
      </c>
      <c r="I78">
        <v>0</v>
      </c>
      <c r="J78" s="1" t="str" cm="1">
        <f t="array" ref="J78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ライン不良</v>
      </c>
      <c r="K78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ライン不良</v>
      </c>
      <c r="L78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塗装</v>
      </c>
      <c r="M78" s="1" t="str" cm="1">
        <f t="array" ref="M78">_xlfn.XLOOKUP(TEXT(_不良集計ゾーン別ADO[[#This Row],[番号]],"@"),TEXT(_番号ADO[番号],"@"),_番号ADO[発生],"",0,1)</f>
        <v>塗装</v>
      </c>
      <c r="N78" s="1" t="str">
        <f>_xlfn.IFS(MID(_不良集計ゾーン別ADO[[#This Row],[品番]],3,2)="Fr","Fr",MID(_不良集計ゾーン別ADO[[#This Row],[品番]],3,2)="Rr","Rr",TRUE,"")</f>
        <v>Rr</v>
      </c>
      <c r="O78" s="1" t="str">
        <f>IF(ISBLANK(_不良集計ゾーン別ADO[[#This Row],[品番]]),"",RIGHT(_不良集計ゾーン別ADO[[#This Row],[品番]],2))</f>
        <v>RH</v>
      </c>
      <c r="P78" s="1" t="str">
        <f>_xlfn.IFS(LEFT(_不良集計ゾーン別ADO[[#This Row],[品番]],2)="アル","アルヴェル",LEFT(_不良集計ゾーン別ADO[[#This Row],[品番]],2)="ノア","ノアヴォク",TRUE,"")</f>
        <v>ノアヴォク</v>
      </c>
      <c r="U78" s="1"/>
    </row>
    <row r="79" spans="1:21" x14ac:dyDescent="0.45">
      <c r="A79">
        <v>75</v>
      </c>
      <c r="B79" s="16">
        <v>46029</v>
      </c>
      <c r="C79" s="1" t="s">
        <v>44</v>
      </c>
      <c r="D79" s="1" t="s">
        <v>200</v>
      </c>
      <c r="E79" s="1" t="s">
        <v>50</v>
      </c>
      <c r="F79" s="1" t="s">
        <v>0</v>
      </c>
      <c r="G79" s="1" t="s">
        <v>40</v>
      </c>
      <c r="H79" s="1">
        <v>1</v>
      </c>
      <c r="I79">
        <v>0</v>
      </c>
      <c r="J79" s="1" t="str" cm="1">
        <f t="array" ref="J79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塗料付着</v>
      </c>
      <c r="K79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塗料付着</v>
      </c>
      <c r="L79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モール</v>
      </c>
      <c r="M79" s="1" t="str" cm="1">
        <f t="array" ref="M79">_xlfn.XLOOKUP(TEXT(_不良集計ゾーン別ADO[[#This Row],[番号]],"@"),TEXT(_番号ADO[番号],"@"),_番号ADO[発生],"",0,1)</f>
        <v>塗装</v>
      </c>
      <c r="N79" s="1" t="str">
        <f>_xlfn.IFS(MID(_不良集計ゾーン別ADO[[#This Row],[品番]],3,2)="Fr","Fr",MID(_不良集計ゾーン別ADO[[#This Row],[品番]],3,2)="Rr","Rr",TRUE,"")</f>
        <v>Fr</v>
      </c>
      <c r="O79" s="1" t="str">
        <f>IF(ISBLANK(_不良集計ゾーン別ADO[[#This Row],[品番]]),"",RIGHT(_不良集計ゾーン別ADO[[#This Row],[品番]],2))</f>
        <v>LH</v>
      </c>
      <c r="P79" s="1" t="str">
        <f>_xlfn.IFS(LEFT(_不良集計ゾーン別ADO[[#This Row],[品番]],2)="アル","アルヴェル",LEFT(_不良集計ゾーン別ADO[[#This Row],[品番]],2)="ノア","ノアヴォク",TRUE,"")</f>
        <v>アルヴェル</v>
      </c>
      <c r="U79" s="1"/>
    </row>
    <row r="80" spans="1:21" x14ac:dyDescent="0.45">
      <c r="A80">
        <v>76</v>
      </c>
      <c r="B80" s="16">
        <v>46029</v>
      </c>
      <c r="C80" s="1" t="s">
        <v>49</v>
      </c>
      <c r="D80" s="1" t="s">
        <v>200</v>
      </c>
      <c r="E80" s="1" t="s">
        <v>50</v>
      </c>
      <c r="F80" s="1" t="s">
        <v>3</v>
      </c>
      <c r="G80" s="1" t="s">
        <v>40</v>
      </c>
      <c r="H80" s="1">
        <v>1</v>
      </c>
      <c r="I80">
        <v>0</v>
      </c>
      <c r="J80" s="1" t="str" cm="1">
        <f t="array" ref="J80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塗料付着</v>
      </c>
      <c r="K80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塗料付着</v>
      </c>
      <c r="L80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モール</v>
      </c>
      <c r="M80" s="1" t="str" cm="1">
        <f t="array" ref="M80">_xlfn.XLOOKUP(TEXT(_不良集計ゾーン別ADO[[#This Row],[番号]],"@"),TEXT(_番号ADO[番号],"@"),_番号ADO[発生],"",0,1)</f>
        <v>塗装</v>
      </c>
      <c r="N80" s="1" t="str">
        <f>_xlfn.IFS(MID(_不良集計ゾーン別ADO[[#This Row],[品番]],3,2)="Fr","Fr",MID(_不良集計ゾーン別ADO[[#This Row],[品番]],3,2)="Rr","Rr",TRUE,"")</f>
        <v>Rr</v>
      </c>
      <c r="O80" s="1" t="str">
        <f>IF(ISBLANK(_不良集計ゾーン別ADO[[#This Row],[品番]]),"",RIGHT(_不良集計ゾーン別ADO[[#This Row],[品番]],2))</f>
        <v>RH</v>
      </c>
      <c r="P80" s="1" t="str">
        <f>_xlfn.IFS(LEFT(_不良集計ゾーン別ADO[[#This Row],[品番]],2)="アル","アルヴェル",LEFT(_不良集計ゾーン別ADO[[#This Row],[品番]],2)="ノア","ノアヴォク",TRUE,"")</f>
        <v>アルヴェル</v>
      </c>
      <c r="U80" s="1"/>
    </row>
    <row r="81" spans="1:21" x14ac:dyDescent="0.45">
      <c r="A81">
        <v>77</v>
      </c>
      <c r="B81" s="16">
        <v>46029</v>
      </c>
      <c r="C81" s="1" t="s">
        <v>35</v>
      </c>
      <c r="D81" s="1" t="s">
        <v>80</v>
      </c>
      <c r="E81" s="1" t="s">
        <v>36</v>
      </c>
      <c r="F81" s="1" t="s">
        <v>0</v>
      </c>
      <c r="G81" s="1" t="s">
        <v>3</v>
      </c>
      <c r="H81" s="1">
        <v>1</v>
      </c>
      <c r="I81">
        <v>0</v>
      </c>
      <c r="J81" s="1" t="str" cm="1">
        <f t="array" ref="J81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汚れ</v>
      </c>
      <c r="K81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汚れ</v>
      </c>
      <c r="L81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81" s="1" t="str" cm="1">
        <f t="array" ref="M81">_xlfn.XLOOKUP(TEXT(_不良集計ゾーン別ADO[[#This Row],[番号]],"@"),TEXT(_番号ADO[番号],"@"),_番号ADO[発生],"",0,1)</f>
        <v>加工</v>
      </c>
      <c r="N81" s="1" t="str">
        <f>_xlfn.IFS(MID(_不良集計ゾーン別ADO[[#This Row],[品番]],3,2)="Fr","Fr",MID(_不良集計ゾーン別ADO[[#This Row],[品番]],3,2)="Rr","Rr",TRUE,"")</f>
        <v>Fr</v>
      </c>
      <c r="O81" s="1" t="str">
        <f>IF(ISBLANK(_不良集計ゾーン別ADO[[#This Row],[品番]]),"",RIGHT(_不良集計ゾーン別ADO[[#This Row],[品番]],2))</f>
        <v>LH</v>
      </c>
      <c r="P81" s="1" t="str">
        <f>_xlfn.IFS(LEFT(_不良集計ゾーン別ADO[[#This Row],[品番]],2)="アル","アルヴェル",LEFT(_不良集計ゾーン別ADO[[#This Row],[品番]],2)="ノア","ノアヴォク",TRUE,"")</f>
        <v>ノアヴォク</v>
      </c>
      <c r="U81" s="1"/>
    </row>
    <row r="82" spans="1:21" x14ac:dyDescent="0.45">
      <c r="A82">
        <v>78</v>
      </c>
      <c r="B82" s="16">
        <v>46029</v>
      </c>
      <c r="C82" s="1" t="s">
        <v>35</v>
      </c>
      <c r="D82" s="1" t="s">
        <v>80</v>
      </c>
      <c r="E82" s="1" t="s">
        <v>36</v>
      </c>
      <c r="F82" s="1" t="s">
        <v>0</v>
      </c>
      <c r="G82" s="1" t="s">
        <v>39</v>
      </c>
      <c r="H82" s="1">
        <v>1</v>
      </c>
      <c r="I82">
        <v>0</v>
      </c>
      <c r="J82" s="1" t="str" cm="1">
        <f t="array" ref="J82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ピンホール</v>
      </c>
      <c r="K82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ピンホール</v>
      </c>
      <c r="L82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82" s="1" t="str" cm="1">
        <f t="array" ref="M82">_xlfn.XLOOKUP(TEXT(_不良集計ゾーン別ADO[[#This Row],[番号]],"@"),TEXT(_番号ADO[番号],"@"),_番号ADO[発生],"",0,1)</f>
        <v>塗装</v>
      </c>
      <c r="N82" s="1" t="str">
        <f>_xlfn.IFS(MID(_不良集計ゾーン別ADO[[#This Row],[品番]],3,2)="Fr","Fr",MID(_不良集計ゾーン別ADO[[#This Row],[品番]],3,2)="Rr","Rr",TRUE,"")</f>
        <v>Fr</v>
      </c>
      <c r="O82" s="1" t="str">
        <f>IF(ISBLANK(_不良集計ゾーン別ADO[[#This Row],[品番]]),"",RIGHT(_不良集計ゾーン別ADO[[#This Row],[品番]],2))</f>
        <v>LH</v>
      </c>
      <c r="P82" s="1" t="str">
        <f>_xlfn.IFS(LEFT(_不良集計ゾーン別ADO[[#This Row],[品番]],2)="アル","アルヴェル",LEFT(_不良集計ゾーン別ADO[[#This Row],[品番]],2)="ノア","ノアヴォク",TRUE,"")</f>
        <v>ノアヴォク</v>
      </c>
      <c r="U82" s="1"/>
    </row>
    <row r="83" spans="1:21" x14ac:dyDescent="0.45">
      <c r="A83">
        <v>79</v>
      </c>
      <c r="B83" s="16">
        <v>46029</v>
      </c>
      <c r="C83" s="1" t="s">
        <v>42</v>
      </c>
      <c r="D83" s="1" t="s">
        <v>80</v>
      </c>
      <c r="E83" s="1" t="s">
        <v>36</v>
      </c>
      <c r="F83" s="1" t="s">
        <v>3</v>
      </c>
      <c r="G83" s="1" t="s">
        <v>40</v>
      </c>
      <c r="H83" s="1">
        <v>1</v>
      </c>
      <c r="I83">
        <v>0</v>
      </c>
      <c r="J83" s="1" t="str" cm="1">
        <f t="array" ref="J83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塗料付着</v>
      </c>
      <c r="K83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塗料付着</v>
      </c>
      <c r="L83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83" s="1" t="str" cm="1">
        <f t="array" ref="M83">_xlfn.XLOOKUP(TEXT(_不良集計ゾーン別ADO[[#This Row],[番号]],"@"),TEXT(_番号ADO[番号],"@"),_番号ADO[発生],"",0,1)</f>
        <v>塗装</v>
      </c>
      <c r="N83" s="1" t="str">
        <f>_xlfn.IFS(MID(_不良集計ゾーン別ADO[[#This Row],[品番]],3,2)="Fr","Fr",MID(_不良集計ゾーン別ADO[[#This Row],[品番]],3,2)="Rr","Rr",TRUE,"")</f>
        <v>Rr</v>
      </c>
      <c r="O83" s="1" t="str">
        <f>IF(ISBLANK(_不良集計ゾーン別ADO[[#This Row],[品番]]),"",RIGHT(_不良集計ゾーン別ADO[[#This Row],[品番]],2))</f>
        <v>LH</v>
      </c>
      <c r="P83" s="1" t="str">
        <f>_xlfn.IFS(LEFT(_不良集計ゾーン別ADO[[#This Row],[品番]],2)="アル","アルヴェル",LEFT(_不良集計ゾーン別ADO[[#This Row],[品番]],2)="ノア","ノアヴォク",TRUE,"")</f>
        <v>ノアヴォク</v>
      </c>
      <c r="U83" s="1"/>
    </row>
    <row r="84" spans="1:21" x14ac:dyDescent="0.45">
      <c r="A84">
        <v>80</v>
      </c>
      <c r="B84" s="16">
        <v>46029</v>
      </c>
      <c r="C84" s="1" t="s">
        <v>42</v>
      </c>
      <c r="D84" s="1" t="s">
        <v>80</v>
      </c>
      <c r="E84" s="1" t="s">
        <v>36</v>
      </c>
      <c r="F84" s="1" t="s">
        <v>2</v>
      </c>
      <c r="G84" s="1" t="s">
        <v>53</v>
      </c>
      <c r="H84" s="1">
        <v>1</v>
      </c>
      <c r="I84">
        <v>0</v>
      </c>
      <c r="J84" s="1" t="str" cm="1">
        <f t="array" ref="J84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汚れ</v>
      </c>
      <c r="K84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汚れ</v>
      </c>
      <c r="L84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84" s="1" t="str" cm="1">
        <f t="array" ref="M84">_xlfn.XLOOKUP(TEXT(_不良集計ゾーン別ADO[[#This Row],[番号]],"@"),TEXT(_番号ADO[番号],"@"),_番号ADO[発生],"",0,1)</f>
        <v>塗装</v>
      </c>
      <c r="N84" s="1" t="str">
        <f>_xlfn.IFS(MID(_不良集計ゾーン別ADO[[#This Row],[品番]],3,2)="Fr","Fr",MID(_不良集計ゾーン別ADO[[#This Row],[品番]],3,2)="Rr","Rr",TRUE,"")</f>
        <v>Rr</v>
      </c>
      <c r="O84" s="1" t="str">
        <f>IF(ISBLANK(_不良集計ゾーン別ADO[[#This Row],[品番]]),"",RIGHT(_不良集計ゾーン別ADO[[#This Row],[品番]],2))</f>
        <v>LH</v>
      </c>
      <c r="P84" s="1" t="str">
        <f>_xlfn.IFS(LEFT(_不良集計ゾーン別ADO[[#This Row],[品番]],2)="アル","アルヴェル",LEFT(_不良集計ゾーン別ADO[[#This Row],[品番]],2)="ノア","ノアヴォク",TRUE,"")</f>
        <v>ノアヴォク</v>
      </c>
      <c r="U84" s="1"/>
    </row>
    <row r="85" spans="1:21" x14ac:dyDescent="0.45">
      <c r="A85">
        <v>81</v>
      </c>
      <c r="B85" s="16">
        <v>46029</v>
      </c>
      <c r="C85" s="1" t="s">
        <v>42</v>
      </c>
      <c r="D85" s="1" t="s">
        <v>80</v>
      </c>
      <c r="E85" s="1" t="s">
        <v>36</v>
      </c>
      <c r="F85" s="1" t="s">
        <v>2</v>
      </c>
      <c r="G85" s="1" t="s">
        <v>52</v>
      </c>
      <c r="H85" s="1">
        <v>1</v>
      </c>
      <c r="I85">
        <v>0</v>
      </c>
      <c r="J85" s="1" t="str" cm="1">
        <f t="array" ref="J85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85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85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85" s="1" t="str" cm="1">
        <f t="array" ref="M85">_xlfn.XLOOKUP(TEXT(_不良集計ゾーン別ADO[[#This Row],[番号]],"@"),TEXT(_番号ADO[番号],"@"),_番号ADO[発生],"",0,1)</f>
        <v>成形</v>
      </c>
      <c r="N85" s="1" t="str">
        <f>_xlfn.IFS(MID(_不良集計ゾーン別ADO[[#This Row],[品番]],3,2)="Fr","Fr",MID(_不良集計ゾーン別ADO[[#This Row],[品番]],3,2)="Rr","Rr",TRUE,"")</f>
        <v>Rr</v>
      </c>
      <c r="O85" s="1" t="str">
        <f>IF(ISBLANK(_不良集計ゾーン別ADO[[#This Row],[品番]]),"",RIGHT(_不良集計ゾーン別ADO[[#This Row],[品番]],2))</f>
        <v>LH</v>
      </c>
      <c r="P85" s="1" t="str">
        <f>_xlfn.IFS(LEFT(_不良集計ゾーン別ADO[[#This Row],[品番]],2)="アル","アルヴェル",LEFT(_不良集計ゾーン別ADO[[#This Row],[品番]],2)="ノア","ノアヴォク",TRUE,"")</f>
        <v>ノアヴォク</v>
      </c>
      <c r="U85" s="1"/>
    </row>
    <row r="86" spans="1:21" x14ac:dyDescent="0.45">
      <c r="A86">
        <v>82</v>
      </c>
      <c r="B86" s="16">
        <v>46029</v>
      </c>
      <c r="C86" s="1" t="s">
        <v>42</v>
      </c>
      <c r="D86" s="1" t="s">
        <v>80</v>
      </c>
      <c r="E86" s="1" t="s">
        <v>36</v>
      </c>
      <c r="F86" s="1" t="s">
        <v>0</v>
      </c>
      <c r="G86" s="1" t="s">
        <v>4</v>
      </c>
      <c r="H86" s="1">
        <v>1</v>
      </c>
      <c r="I86">
        <v>0</v>
      </c>
      <c r="J86" s="1" t="str" cm="1">
        <f t="array" ref="J86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投入キズ</v>
      </c>
      <c r="K86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投入キズ</v>
      </c>
      <c r="L86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86" s="1" t="str" cm="1">
        <f t="array" ref="M86">_xlfn.XLOOKUP(TEXT(_不良集計ゾーン別ADO[[#This Row],[番号]],"@"),TEXT(_番号ADO[番号],"@"),_番号ADO[発生],"",0,1)</f>
        <v>加工</v>
      </c>
      <c r="N86" s="1" t="str">
        <f>_xlfn.IFS(MID(_不良集計ゾーン別ADO[[#This Row],[品番]],3,2)="Fr","Fr",MID(_不良集計ゾーン別ADO[[#This Row],[品番]],3,2)="Rr","Rr",TRUE,"")</f>
        <v>Rr</v>
      </c>
      <c r="O86" s="1" t="str">
        <f>IF(ISBLANK(_不良集計ゾーン別ADO[[#This Row],[品番]]),"",RIGHT(_不良集計ゾーン別ADO[[#This Row],[品番]],2))</f>
        <v>LH</v>
      </c>
      <c r="P86" s="1" t="str">
        <f>_xlfn.IFS(LEFT(_不良集計ゾーン別ADO[[#This Row],[品番]],2)="アル","アルヴェル",LEFT(_不良集計ゾーン別ADO[[#This Row],[品番]],2)="ノア","ノアヴォク",TRUE,"")</f>
        <v>ノアヴォク</v>
      </c>
      <c r="U86" s="1"/>
    </row>
    <row r="87" spans="1:21" x14ac:dyDescent="0.45">
      <c r="A87">
        <v>83</v>
      </c>
      <c r="B87" s="16">
        <v>46029</v>
      </c>
      <c r="C87" s="1" t="s">
        <v>43</v>
      </c>
      <c r="D87" s="1" t="s">
        <v>80</v>
      </c>
      <c r="E87" s="1" t="s">
        <v>36</v>
      </c>
      <c r="F87" s="1" t="s">
        <v>2</v>
      </c>
      <c r="G87" s="1" t="s">
        <v>114</v>
      </c>
      <c r="H87" s="1">
        <v>1</v>
      </c>
      <c r="I87">
        <v>0</v>
      </c>
      <c r="J87" s="1" t="str" cm="1">
        <f t="array" ref="J87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加工キズ</v>
      </c>
      <c r="K87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加工キズ</v>
      </c>
      <c r="L87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87" s="1" t="str" cm="1">
        <f t="array" ref="M87">_xlfn.XLOOKUP(TEXT(_不良集計ゾーン別ADO[[#This Row],[番号]],"@"),TEXT(_番号ADO[番号],"@"),_番号ADO[発生],"",0,1)</f>
        <v>加工</v>
      </c>
      <c r="N87" s="1" t="str">
        <f>_xlfn.IFS(MID(_不良集計ゾーン別ADO[[#This Row],[品番]],3,2)="Fr","Fr",MID(_不良集計ゾーン別ADO[[#This Row],[品番]],3,2)="Rr","Rr",TRUE,"")</f>
        <v>Rr</v>
      </c>
      <c r="O87" s="1" t="str">
        <f>IF(ISBLANK(_不良集計ゾーン別ADO[[#This Row],[品番]]),"",RIGHT(_不良集計ゾーン別ADO[[#This Row],[品番]],2))</f>
        <v>RH</v>
      </c>
      <c r="P87" s="1" t="str">
        <f>_xlfn.IFS(LEFT(_不良集計ゾーン別ADO[[#This Row],[品番]],2)="アル","アルヴェル",LEFT(_不良集計ゾーン別ADO[[#This Row],[品番]],2)="ノア","ノアヴォク",TRUE,"")</f>
        <v>ノアヴォク</v>
      </c>
      <c r="U87" s="1"/>
    </row>
    <row r="88" spans="1:21" x14ac:dyDescent="0.45">
      <c r="A88">
        <v>84</v>
      </c>
      <c r="B88" s="16">
        <v>46029</v>
      </c>
      <c r="C88" s="1" t="s">
        <v>43</v>
      </c>
      <c r="D88" s="1" t="s">
        <v>80</v>
      </c>
      <c r="E88" s="1" t="s">
        <v>36</v>
      </c>
      <c r="F88" s="1" t="s">
        <v>4</v>
      </c>
      <c r="G88" s="1" t="s">
        <v>52</v>
      </c>
      <c r="H88" s="1">
        <v>1</v>
      </c>
      <c r="I88">
        <v>0</v>
      </c>
      <c r="J88" s="1" t="str" cm="1">
        <f t="array" ref="J88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88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88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88" s="1" t="str" cm="1">
        <f t="array" ref="M88">_xlfn.XLOOKUP(TEXT(_不良集計ゾーン別ADO[[#This Row],[番号]],"@"),TEXT(_番号ADO[番号],"@"),_番号ADO[発生],"",0,1)</f>
        <v>成形</v>
      </c>
      <c r="N88" s="1" t="str">
        <f>_xlfn.IFS(MID(_不良集計ゾーン別ADO[[#This Row],[品番]],3,2)="Fr","Fr",MID(_不良集計ゾーン別ADO[[#This Row],[品番]],3,2)="Rr","Rr",TRUE,"")</f>
        <v>Rr</v>
      </c>
      <c r="O88" s="1" t="str">
        <f>IF(ISBLANK(_不良集計ゾーン別ADO[[#This Row],[品番]]),"",RIGHT(_不良集計ゾーン別ADO[[#This Row],[品番]],2))</f>
        <v>RH</v>
      </c>
      <c r="P88" s="1" t="str">
        <f>_xlfn.IFS(LEFT(_不良集計ゾーン別ADO[[#This Row],[品番]],2)="アル","アルヴェル",LEFT(_不良集計ゾーン別ADO[[#This Row],[品番]],2)="ノア","ノアヴォク",TRUE,"")</f>
        <v>ノアヴォク</v>
      </c>
      <c r="U88" s="1"/>
    </row>
    <row r="89" spans="1:21" x14ac:dyDescent="0.45">
      <c r="A89">
        <v>85</v>
      </c>
      <c r="B89" s="16">
        <v>46030</v>
      </c>
      <c r="C89" s="1" t="s">
        <v>35</v>
      </c>
      <c r="D89" s="1" t="s">
        <v>86</v>
      </c>
      <c r="E89" s="1" t="s">
        <v>36</v>
      </c>
      <c r="F89" s="1" t="s">
        <v>2</v>
      </c>
      <c r="G89" s="1" t="s">
        <v>61</v>
      </c>
      <c r="H89" s="1">
        <v>4</v>
      </c>
      <c r="I89">
        <v>0</v>
      </c>
      <c r="J89" s="1" t="str" cm="1">
        <f t="array" ref="J89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塗装ひげ</v>
      </c>
      <c r="K89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塗装ひげ</v>
      </c>
      <c r="L89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89" s="1" t="str" cm="1">
        <f t="array" ref="M89">_xlfn.XLOOKUP(TEXT(_不良集計ゾーン別ADO[[#This Row],[番号]],"@"),TEXT(_番号ADO[番号],"@"),_番号ADO[発生],"",0,1)</f>
        <v>塗装</v>
      </c>
      <c r="N89" s="1" t="str">
        <f>_xlfn.IFS(MID(_不良集計ゾーン別ADO[[#This Row],[品番]],3,2)="Fr","Fr",MID(_不良集計ゾーン別ADO[[#This Row],[品番]],3,2)="Rr","Rr",TRUE,"")</f>
        <v>Fr</v>
      </c>
      <c r="O89" s="1" t="str">
        <f>IF(ISBLANK(_不良集計ゾーン別ADO[[#This Row],[品番]]),"",RIGHT(_不良集計ゾーン別ADO[[#This Row],[品番]],2))</f>
        <v>LH</v>
      </c>
      <c r="P89" s="1" t="str">
        <f>_xlfn.IFS(LEFT(_不良集計ゾーン別ADO[[#This Row],[品番]],2)="アル","アルヴェル",LEFT(_不良集計ゾーン別ADO[[#This Row],[品番]],2)="ノア","ノアヴォク",TRUE,"")</f>
        <v>ノアヴォク</v>
      </c>
      <c r="U89" s="1"/>
    </row>
    <row r="90" spans="1:21" x14ac:dyDescent="0.45">
      <c r="A90">
        <v>86</v>
      </c>
      <c r="B90" s="16">
        <v>46031</v>
      </c>
      <c r="C90" s="1" t="s">
        <v>42</v>
      </c>
      <c r="D90" s="1" t="s">
        <v>95</v>
      </c>
      <c r="E90" s="1" t="s">
        <v>57</v>
      </c>
      <c r="F90" s="1" t="s">
        <v>3</v>
      </c>
      <c r="G90" s="1" t="s">
        <v>64</v>
      </c>
      <c r="H90" s="1">
        <v>2</v>
      </c>
      <c r="I90">
        <v>0</v>
      </c>
      <c r="J90" s="1" t="str" cm="1">
        <f t="array" ref="J90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ウエルド</v>
      </c>
      <c r="K90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ウエルド</v>
      </c>
      <c r="L90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90" s="1" t="str" cm="1">
        <f t="array" ref="M90">_xlfn.XLOOKUP(TEXT(_不良集計ゾーン別ADO[[#This Row],[番号]],"@"),TEXT(_番号ADO[番号],"@"),_番号ADO[発生],"",0,1)</f>
        <v>成形</v>
      </c>
      <c r="N90" s="1" t="str">
        <f>_xlfn.IFS(MID(_不良集計ゾーン別ADO[[#This Row],[品番]],3,2)="Fr","Fr",MID(_不良集計ゾーン別ADO[[#This Row],[品番]],3,2)="Rr","Rr",TRUE,"")</f>
        <v>Rr</v>
      </c>
      <c r="O90" s="1" t="str">
        <f>IF(ISBLANK(_不良集計ゾーン別ADO[[#This Row],[品番]]),"",RIGHT(_不良集計ゾーン別ADO[[#This Row],[品番]],2))</f>
        <v>LH</v>
      </c>
      <c r="P90" s="1" t="str">
        <f>_xlfn.IFS(LEFT(_不良集計ゾーン別ADO[[#This Row],[品番]],2)="アル","アルヴェル",LEFT(_不良集計ゾーン別ADO[[#This Row],[品番]],2)="ノア","ノアヴォク",TRUE,"")</f>
        <v>ノアヴォク</v>
      </c>
      <c r="U90" s="1"/>
    </row>
    <row r="91" spans="1:21" x14ac:dyDescent="0.45">
      <c r="A91">
        <v>87</v>
      </c>
      <c r="B91" s="16">
        <v>46031</v>
      </c>
      <c r="C91" s="1" t="s">
        <v>42</v>
      </c>
      <c r="D91" s="1" t="s">
        <v>95</v>
      </c>
      <c r="E91" s="1" t="s">
        <v>57</v>
      </c>
      <c r="F91" s="1" t="s">
        <v>1</v>
      </c>
      <c r="G91" s="1" t="s">
        <v>64</v>
      </c>
      <c r="H91" s="1">
        <v>2</v>
      </c>
      <c r="I91">
        <v>0</v>
      </c>
      <c r="J91" s="1" t="str" cm="1">
        <f t="array" ref="J91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ウエルド</v>
      </c>
      <c r="K91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ウエルド</v>
      </c>
      <c r="L91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91" s="1" t="str" cm="1">
        <f t="array" ref="M91">_xlfn.XLOOKUP(TEXT(_不良集計ゾーン別ADO[[#This Row],[番号]],"@"),TEXT(_番号ADO[番号],"@"),_番号ADO[発生],"",0,1)</f>
        <v>成形</v>
      </c>
      <c r="N91" s="1" t="str">
        <f>_xlfn.IFS(MID(_不良集計ゾーン別ADO[[#This Row],[品番]],3,2)="Fr","Fr",MID(_不良集計ゾーン別ADO[[#This Row],[品番]],3,2)="Rr","Rr",TRUE,"")</f>
        <v>Rr</v>
      </c>
      <c r="O91" s="1" t="str">
        <f>IF(ISBLANK(_不良集計ゾーン別ADO[[#This Row],[品番]]),"",RIGHT(_不良集計ゾーン別ADO[[#This Row],[品番]],2))</f>
        <v>LH</v>
      </c>
      <c r="P91" s="1" t="str">
        <f>_xlfn.IFS(LEFT(_不良集計ゾーン別ADO[[#This Row],[品番]],2)="アル","アルヴェル",LEFT(_不良集計ゾーン別ADO[[#This Row],[品番]],2)="ノア","ノアヴォク",TRUE,"")</f>
        <v>ノアヴォク</v>
      </c>
      <c r="U91" s="1"/>
    </row>
    <row r="92" spans="1:21" x14ac:dyDescent="0.45">
      <c r="A92">
        <v>88</v>
      </c>
      <c r="B92" s="16">
        <v>46034</v>
      </c>
      <c r="C92" s="1" t="s">
        <v>35</v>
      </c>
      <c r="D92" s="1" t="s">
        <v>37</v>
      </c>
      <c r="E92" s="1" t="s">
        <v>57</v>
      </c>
      <c r="F92" s="1" t="s">
        <v>2</v>
      </c>
      <c r="G92" s="1" t="s">
        <v>96</v>
      </c>
      <c r="H92" s="1">
        <v>2</v>
      </c>
      <c r="I92">
        <v>0</v>
      </c>
      <c r="J92" s="1" t="str" cm="1">
        <f t="array" ref="J92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打出し不良</v>
      </c>
      <c r="K92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打出し不良</v>
      </c>
      <c r="L92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92" s="1" t="str" cm="1">
        <f t="array" ref="M92">_xlfn.XLOOKUP(TEXT(_不良集計ゾーン別ADO[[#This Row],[番号]],"@"),TEXT(_番号ADO[番号],"@"),_番号ADO[発生],"",0,1)</f>
        <v>成形</v>
      </c>
      <c r="N92" s="1" t="str">
        <f>_xlfn.IFS(MID(_不良集計ゾーン別ADO[[#This Row],[品番]],3,2)="Fr","Fr",MID(_不良集計ゾーン別ADO[[#This Row],[品番]],3,2)="Rr","Rr",TRUE,"")</f>
        <v>Fr</v>
      </c>
      <c r="O92" s="1" t="str">
        <f>IF(ISBLANK(_不良集計ゾーン別ADO[[#This Row],[品番]]),"",RIGHT(_不良集計ゾーン別ADO[[#This Row],[品番]],2))</f>
        <v>LH</v>
      </c>
      <c r="P92" s="1" t="str">
        <f>_xlfn.IFS(LEFT(_不良集計ゾーン別ADO[[#This Row],[品番]],2)="アル","アルヴェル",LEFT(_不良集計ゾーン別ADO[[#This Row],[品番]],2)="ノア","ノアヴォク",TRUE,"")</f>
        <v>ノアヴォク</v>
      </c>
      <c r="U92" s="1"/>
    </row>
    <row r="93" spans="1:21" x14ac:dyDescent="0.45">
      <c r="A93">
        <v>89</v>
      </c>
      <c r="B93" s="16">
        <v>46034</v>
      </c>
      <c r="C93" s="1" t="s">
        <v>41</v>
      </c>
      <c r="D93" s="1" t="s">
        <v>37</v>
      </c>
      <c r="E93" s="1" t="s">
        <v>57</v>
      </c>
      <c r="F93" s="1" t="s">
        <v>2</v>
      </c>
      <c r="G93" s="1" t="s">
        <v>96</v>
      </c>
      <c r="H93" s="1">
        <v>2</v>
      </c>
      <c r="I93">
        <v>0</v>
      </c>
      <c r="J93" s="1" t="str" cm="1">
        <f t="array" ref="J93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打出し不良</v>
      </c>
      <c r="K93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打出し不良</v>
      </c>
      <c r="L93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93" s="1" t="str" cm="1">
        <f t="array" ref="M93">_xlfn.XLOOKUP(TEXT(_不良集計ゾーン別ADO[[#This Row],[番号]],"@"),TEXT(_番号ADO[番号],"@"),_番号ADO[発生],"",0,1)</f>
        <v>成形</v>
      </c>
      <c r="N93" s="1" t="str">
        <f>_xlfn.IFS(MID(_不良集計ゾーン別ADO[[#This Row],[品番]],3,2)="Fr","Fr",MID(_不良集計ゾーン別ADO[[#This Row],[品番]],3,2)="Rr","Rr",TRUE,"")</f>
        <v>Fr</v>
      </c>
      <c r="O93" s="1" t="str">
        <f>IF(ISBLANK(_不良集計ゾーン別ADO[[#This Row],[品番]]),"",RIGHT(_不良集計ゾーン別ADO[[#This Row],[品番]],2))</f>
        <v>RH</v>
      </c>
      <c r="P93" s="1" t="str">
        <f>_xlfn.IFS(LEFT(_不良集計ゾーン別ADO[[#This Row],[品番]],2)="アル","アルヴェル",LEFT(_不良集計ゾーン別ADO[[#This Row],[品番]],2)="ノア","ノアヴォク",TRUE,"")</f>
        <v>ノアヴォク</v>
      </c>
      <c r="U93" s="1"/>
    </row>
    <row r="94" spans="1:21" x14ac:dyDescent="0.45">
      <c r="A94">
        <v>90</v>
      </c>
      <c r="B94" s="16">
        <v>46034</v>
      </c>
      <c r="C94" s="1" t="s">
        <v>41</v>
      </c>
      <c r="D94" s="1" t="s">
        <v>37</v>
      </c>
      <c r="E94" s="1" t="s">
        <v>57</v>
      </c>
      <c r="F94" s="1" t="s">
        <v>2</v>
      </c>
      <c r="G94" s="1" t="s">
        <v>64</v>
      </c>
      <c r="H94" s="1">
        <v>1</v>
      </c>
      <c r="I94">
        <v>0</v>
      </c>
      <c r="J94" s="1" t="str" cm="1">
        <f t="array" ref="J94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ウエルド</v>
      </c>
      <c r="K94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ウエルド</v>
      </c>
      <c r="L94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94" s="1" t="str" cm="1">
        <f t="array" ref="M94">_xlfn.XLOOKUP(TEXT(_不良集計ゾーン別ADO[[#This Row],[番号]],"@"),TEXT(_番号ADO[番号],"@"),_番号ADO[発生],"",0,1)</f>
        <v>成形</v>
      </c>
      <c r="N94" s="1" t="str">
        <f>_xlfn.IFS(MID(_不良集計ゾーン別ADO[[#This Row],[品番]],3,2)="Fr","Fr",MID(_不良集計ゾーン別ADO[[#This Row],[品番]],3,2)="Rr","Rr",TRUE,"")</f>
        <v>Fr</v>
      </c>
      <c r="O94" s="1" t="str">
        <f>IF(ISBLANK(_不良集計ゾーン別ADO[[#This Row],[品番]]),"",RIGHT(_不良集計ゾーン別ADO[[#This Row],[品番]],2))</f>
        <v>RH</v>
      </c>
      <c r="P94" s="1" t="str">
        <f>_xlfn.IFS(LEFT(_不良集計ゾーン別ADO[[#This Row],[品番]],2)="アル","アルヴェル",LEFT(_不良集計ゾーン別ADO[[#This Row],[品番]],2)="ノア","ノアヴォク",TRUE,"")</f>
        <v>ノアヴォク</v>
      </c>
      <c r="U94" s="1"/>
    </row>
    <row r="95" spans="1:21" x14ac:dyDescent="0.45">
      <c r="A95">
        <v>91</v>
      </c>
      <c r="B95" s="16">
        <v>46034</v>
      </c>
      <c r="C95" s="1" t="s">
        <v>41</v>
      </c>
      <c r="D95" s="1" t="s">
        <v>37</v>
      </c>
      <c r="E95" s="1" t="s">
        <v>57</v>
      </c>
      <c r="F95" s="1" t="s">
        <v>1</v>
      </c>
      <c r="G95" s="1" t="s">
        <v>64</v>
      </c>
      <c r="H95" s="1">
        <v>1</v>
      </c>
      <c r="I95">
        <v>0</v>
      </c>
      <c r="J95" s="1" t="str" cm="1">
        <f t="array" ref="J95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ウエルド</v>
      </c>
      <c r="K95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ウエルド</v>
      </c>
      <c r="L95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95" s="1" t="str" cm="1">
        <f t="array" ref="M95">_xlfn.XLOOKUP(TEXT(_不良集計ゾーン別ADO[[#This Row],[番号]],"@"),TEXT(_番号ADO[番号],"@"),_番号ADO[発生],"",0,1)</f>
        <v>成形</v>
      </c>
      <c r="N95" s="1" t="str">
        <f>_xlfn.IFS(MID(_不良集計ゾーン別ADO[[#This Row],[品番]],3,2)="Fr","Fr",MID(_不良集計ゾーン別ADO[[#This Row],[品番]],3,2)="Rr","Rr",TRUE,"")</f>
        <v>Fr</v>
      </c>
      <c r="O95" s="1" t="str">
        <f>IF(ISBLANK(_不良集計ゾーン別ADO[[#This Row],[品番]]),"",RIGHT(_不良集計ゾーン別ADO[[#This Row],[品番]],2))</f>
        <v>RH</v>
      </c>
      <c r="P95" s="1" t="str">
        <f>_xlfn.IFS(LEFT(_不良集計ゾーン別ADO[[#This Row],[品番]],2)="アル","アルヴェル",LEFT(_不良集計ゾーン別ADO[[#This Row],[品番]],2)="ノア","ノアヴォク",TRUE,"")</f>
        <v>ノアヴォク</v>
      </c>
      <c r="U95" s="1"/>
    </row>
    <row r="96" spans="1:21" x14ac:dyDescent="0.45">
      <c r="A96">
        <v>92</v>
      </c>
      <c r="B96" s="16">
        <v>46034</v>
      </c>
      <c r="C96" s="1" t="s">
        <v>35</v>
      </c>
      <c r="D96" s="1" t="s">
        <v>89</v>
      </c>
      <c r="E96" s="1" t="s">
        <v>57</v>
      </c>
      <c r="F96" s="1" t="s">
        <v>2</v>
      </c>
      <c r="G96" s="1" t="s">
        <v>52</v>
      </c>
      <c r="H96" s="1">
        <v>1</v>
      </c>
      <c r="I96">
        <v>0</v>
      </c>
      <c r="J96" s="1" t="str" cm="1">
        <f t="array" ref="J96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96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96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96" s="1" t="str" cm="1">
        <f t="array" ref="M96">_xlfn.XLOOKUP(TEXT(_不良集計ゾーン別ADO[[#This Row],[番号]],"@"),TEXT(_番号ADO[番号],"@"),_番号ADO[発生],"",0,1)</f>
        <v>成形</v>
      </c>
      <c r="N96" s="1" t="str">
        <f>_xlfn.IFS(MID(_不良集計ゾーン別ADO[[#This Row],[品番]],3,2)="Fr","Fr",MID(_不良集計ゾーン別ADO[[#This Row],[品番]],3,2)="Rr","Rr",TRUE,"")</f>
        <v>Fr</v>
      </c>
      <c r="O96" s="1" t="str">
        <f>IF(ISBLANK(_不良集計ゾーン別ADO[[#This Row],[品番]]),"",RIGHT(_不良集計ゾーン別ADO[[#This Row],[品番]],2))</f>
        <v>LH</v>
      </c>
      <c r="P96" s="1" t="str">
        <f>_xlfn.IFS(LEFT(_不良集計ゾーン別ADO[[#This Row],[品番]],2)="アル","アルヴェル",LEFT(_不良集計ゾーン別ADO[[#This Row],[品番]],2)="ノア","ノアヴォク",TRUE,"")</f>
        <v>ノアヴォク</v>
      </c>
      <c r="U96" s="1"/>
    </row>
    <row r="97" spans="1:21" x14ac:dyDescent="0.45">
      <c r="A97">
        <v>93</v>
      </c>
      <c r="B97" s="16">
        <v>46034</v>
      </c>
      <c r="C97" s="1" t="s">
        <v>35</v>
      </c>
      <c r="D97" s="1" t="s">
        <v>89</v>
      </c>
      <c r="E97" s="1" t="s">
        <v>57</v>
      </c>
      <c r="F97" s="1" t="s">
        <v>0</v>
      </c>
      <c r="G97" s="1" t="s">
        <v>52</v>
      </c>
      <c r="H97" s="1">
        <v>1</v>
      </c>
      <c r="I97">
        <v>0</v>
      </c>
      <c r="J97" s="1" t="str" cm="1">
        <f t="array" ref="J97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97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97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97" s="1" t="str" cm="1">
        <f t="array" ref="M97">_xlfn.XLOOKUP(TEXT(_不良集計ゾーン別ADO[[#This Row],[番号]],"@"),TEXT(_番号ADO[番号],"@"),_番号ADO[発生],"",0,1)</f>
        <v>成形</v>
      </c>
      <c r="N97" s="1" t="str">
        <f>_xlfn.IFS(MID(_不良集計ゾーン別ADO[[#This Row],[品番]],3,2)="Fr","Fr",MID(_不良集計ゾーン別ADO[[#This Row],[品番]],3,2)="Rr","Rr",TRUE,"")</f>
        <v>Fr</v>
      </c>
      <c r="O97" s="1" t="str">
        <f>IF(ISBLANK(_不良集計ゾーン別ADO[[#This Row],[品番]]),"",RIGHT(_不良集計ゾーン別ADO[[#This Row],[品番]],2))</f>
        <v>LH</v>
      </c>
      <c r="P97" s="1" t="str">
        <f>_xlfn.IFS(LEFT(_不良集計ゾーン別ADO[[#This Row],[品番]],2)="アル","アルヴェル",LEFT(_不良集計ゾーン別ADO[[#This Row],[品番]],2)="ノア","ノアヴォク",TRUE,"")</f>
        <v>ノアヴォク</v>
      </c>
      <c r="U97" s="1"/>
    </row>
    <row r="98" spans="1:21" x14ac:dyDescent="0.45">
      <c r="A98">
        <v>94</v>
      </c>
      <c r="B98" s="16">
        <v>46034</v>
      </c>
      <c r="C98" s="1" t="s">
        <v>35</v>
      </c>
      <c r="D98" s="1" t="s">
        <v>103</v>
      </c>
      <c r="E98" s="1" t="s">
        <v>57</v>
      </c>
      <c r="F98" s="1" t="s">
        <v>2</v>
      </c>
      <c r="G98" s="1" t="s">
        <v>96</v>
      </c>
      <c r="H98" s="1">
        <v>2</v>
      </c>
      <c r="I98">
        <v>0</v>
      </c>
      <c r="J98" s="1" t="str" cm="1">
        <f t="array" ref="J98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打出し不良</v>
      </c>
      <c r="K98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打出し不良</v>
      </c>
      <c r="L98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98" s="1" t="str" cm="1">
        <f t="array" ref="M98">_xlfn.XLOOKUP(TEXT(_不良集計ゾーン別ADO[[#This Row],[番号]],"@"),TEXT(_番号ADO[番号],"@"),_番号ADO[発生],"",0,1)</f>
        <v>成形</v>
      </c>
      <c r="N98" s="1" t="str">
        <f>_xlfn.IFS(MID(_不良集計ゾーン別ADO[[#This Row],[品番]],3,2)="Fr","Fr",MID(_不良集計ゾーン別ADO[[#This Row],[品番]],3,2)="Rr","Rr",TRUE,"")</f>
        <v>Fr</v>
      </c>
      <c r="O98" s="1" t="str">
        <f>IF(ISBLANK(_不良集計ゾーン別ADO[[#This Row],[品番]]),"",RIGHT(_不良集計ゾーン別ADO[[#This Row],[品番]],2))</f>
        <v>LH</v>
      </c>
      <c r="P98" s="1" t="str">
        <f>_xlfn.IFS(LEFT(_不良集計ゾーン別ADO[[#This Row],[品番]],2)="アル","アルヴェル",LEFT(_不良集計ゾーン別ADO[[#This Row],[品番]],2)="ノア","ノアヴォク",TRUE,"")</f>
        <v>ノアヴォク</v>
      </c>
      <c r="U98" s="1"/>
    </row>
    <row r="99" spans="1:21" x14ac:dyDescent="0.45">
      <c r="A99">
        <v>95</v>
      </c>
      <c r="B99" s="16">
        <v>46034</v>
      </c>
      <c r="C99" s="1" t="s">
        <v>35</v>
      </c>
      <c r="D99" s="1" t="s">
        <v>103</v>
      </c>
      <c r="E99" s="1" t="s">
        <v>57</v>
      </c>
      <c r="F99" s="1" t="s">
        <v>2</v>
      </c>
      <c r="G99" s="1" t="s">
        <v>98</v>
      </c>
      <c r="H99" s="1">
        <v>2</v>
      </c>
      <c r="I99">
        <v>0</v>
      </c>
      <c r="J99" s="1" t="str" cm="1">
        <f t="array" ref="J99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取出し不良</v>
      </c>
      <c r="K99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取出し不良</v>
      </c>
      <c r="L99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99" s="1" t="str" cm="1">
        <f t="array" ref="M99">_xlfn.XLOOKUP(TEXT(_不良集計ゾーン別ADO[[#This Row],[番号]],"@"),TEXT(_番号ADO[番号],"@"),_番号ADO[発生],"",0,1)</f>
        <v>成形</v>
      </c>
      <c r="N99" s="1" t="str">
        <f>_xlfn.IFS(MID(_不良集計ゾーン別ADO[[#This Row],[品番]],3,2)="Fr","Fr",MID(_不良集計ゾーン別ADO[[#This Row],[品番]],3,2)="Rr","Rr",TRUE,"")</f>
        <v>Fr</v>
      </c>
      <c r="O99" s="1" t="str">
        <f>IF(ISBLANK(_不良集計ゾーン別ADO[[#This Row],[品番]]),"",RIGHT(_不良集計ゾーン別ADO[[#This Row],[品番]],2))</f>
        <v>LH</v>
      </c>
      <c r="P99" s="1" t="str">
        <f>_xlfn.IFS(LEFT(_不良集計ゾーン別ADO[[#This Row],[品番]],2)="アル","アルヴェル",LEFT(_不良集計ゾーン別ADO[[#This Row],[品番]],2)="ノア","ノアヴォク",TRUE,"")</f>
        <v>ノアヴォク</v>
      </c>
      <c r="U99" s="1"/>
    </row>
    <row r="100" spans="1:21" x14ac:dyDescent="0.45">
      <c r="A100">
        <v>96</v>
      </c>
      <c r="B100" s="16">
        <v>46034</v>
      </c>
      <c r="C100" s="1" t="s">
        <v>35</v>
      </c>
      <c r="D100" s="1" t="s">
        <v>103</v>
      </c>
      <c r="E100" s="1" t="s">
        <v>57</v>
      </c>
      <c r="F100" s="1" t="s">
        <v>2</v>
      </c>
      <c r="G100" s="1" t="s">
        <v>59</v>
      </c>
      <c r="H100" s="1">
        <v>1</v>
      </c>
      <c r="I100">
        <v>0</v>
      </c>
      <c r="J100" s="1" t="str" cm="1">
        <f t="array" ref="J100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異物</v>
      </c>
      <c r="K100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異物</v>
      </c>
      <c r="L100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100" s="1" t="str" cm="1">
        <f t="array" ref="M100">_xlfn.XLOOKUP(TEXT(_不良集計ゾーン別ADO[[#This Row],[番号]],"@"),TEXT(_番号ADO[番号],"@"),_番号ADO[発生],"",0,1)</f>
        <v>成形</v>
      </c>
      <c r="N100" s="1" t="str">
        <f>_xlfn.IFS(MID(_不良集計ゾーン別ADO[[#This Row],[品番]],3,2)="Fr","Fr",MID(_不良集計ゾーン別ADO[[#This Row],[品番]],3,2)="Rr","Rr",TRUE,"")</f>
        <v>Fr</v>
      </c>
      <c r="O100" s="1" t="str">
        <f>IF(ISBLANK(_不良集計ゾーン別ADO[[#This Row],[品番]]),"",RIGHT(_不良集計ゾーン別ADO[[#This Row],[品番]],2))</f>
        <v>LH</v>
      </c>
      <c r="P100" s="1" t="str">
        <f>_xlfn.IFS(LEFT(_不良集計ゾーン別ADO[[#This Row],[品番]],2)="アル","アルヴェル",LEFT(_不良集計ゾーン別ADO[[#This Row],[品番]],2)="ノア","ノアヴォク",TRUE,"")</f>
        <v>ノアヴォク</v>
      </c>
      <c r="U100" s="1"/>
    </row>
    <row r="101" spans="1:21" x14ac:dyDescent="0.45">
      <c r="A101">
        <v>97</v>
      </c>
      <c r="B101" s="16">
        <v>46034</v>
      </c>
      <c r="C101" s="1" t="s">
        <v>41</v>
      </c>
      <c r="D101" s="1" t="s">
        <v>103</v>
      </c>
      <c r="E101" s="1" t="s">
        <v>57</v>
      </c>
      <c r="F101" s="1" t="s">
        <v>2</v>
      </c>
      <c r="G101" s="1" t="s">
        <v>96</v>
      </c>
      <c r="H101" s="1">
        <v>2</v>
      </c>
      <c r="I101">
        <v>0</v>
      </c>
      <c r="J101" s="1" t="str" cm="1">
        <f t="array" ref="J101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打出し不良</v>
      </c>
      <c r="K101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打出し不良</v>
      </c>
      <c r="L101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101" s="1" t="str" cm="1">
        <f t="array" ref="M101">_xlfn.XLOOKUP(TEXT(_不良集計ゾーン別ADO[[#This Row],[番号]],"@"),TEXT(_番号ADO[番号],"@"),_番号ADO[発生],"",0,1)</f>
        <v>成形</v>
      </c>
      <c r="N101" s="1" t="str">
        <f>_xlfn.IFS(MID(_不良集計ゾーン別ADO[[#This Row],[品番]],3,2)="Fr","Fr",MID(_不良集計ゾーン別ADO[[#This Row],[品番]],3,2)="Rr","Rr",TRUE,"")</f>
        <v>Fr</v>
      </c>
      <c r="O101" s="1" t="str">
        <f>IF(ISBLANK(_不良集計ゾーン別ADO[[#This Row],[品番]]),"",RIGHT(_不良集計ゾーン別ADO[[#This Row],[品番]],2))</f>
        <v>RH</v>
      </c>
      <c r="P101" s="1" t="str">
        <f>_xlfn.IFS(LEFT(_不良集計ゾーン別ADO[[#This Row],[品番]],2)="アル","アルヴェル",LEFT(_不良集計ゾーン別ADO[[#This Row],[品番]],2)="ノア","ノアヴォク",TRUE,"")</f>
        <v>ノアヴォク</v>
      </c>
      <c r="U101" s="1"/>
    </row>
    <row r="102" spans="1:21" x14ac:dyDescent="0.45">
      <c r="A102">
        <v>98</v>
      </c>
      <c r="B102" s="16">
        <v>46034</v>
      </c>
      <c r="C102" s="1" t="s">
        <v>41</v>
      </c>
      <c r="D102" s="1" t="s">
        <v>103</v>
      </c>
      <c r="E102" s="1" t="s">
        <v>57</v>
      </c>
      <c r="F102" s="1" t="s">
        <v>2</v>
      </c>
      <c r="G102" s="1" t="s">
        <v>98</v>
      </c>
      <c r="H102" s="1">
        <v>2</v>
      </c>
      <c r="I102">
        <v>0</v>
      </c>
      <c r="J102" s="1" t="str" cm="1">
        <f t="array" ref="J102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取出し不良</v>
      </c>
      <c r="K102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取出し不良</v>
      </c>
      <c r="L102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102" s="1" t="str" cm="1">
        <f t="array" ref="M102">_xlfn.XLOOKUP(TEXT(_不良集計ゾーン別ADO[[#This Row],[番号]],"@"),TEXT(_番号ADO[番号],"@"),_番号ADO[発生],"",0,1)</f>
        <v>成形</v>
      </c>
      <c r="N102" s="1" t="str">
        <f>_xlfn.IFS(MID(_不良集計ゾーン別ADO[[#This Row],[品番]],3,2)="Fr","Fr",MID(_不良集計ゾーン別ADO[[#This Row],[品番]],3,2)="Rr","Rr",TRUE,"")</f>
        <v>Fr</v>
      </c>
      <c r="O102" s="1" t="str">
        <f>IF(ISBLANK(_不良集計ゾーン別ADO[[#This Row],[品番]]),"",RIGHT(_不良集計ゾーン別ADO[[#This Row],[品番]],2))</f>
        <v>RH</v>
      </c>
      <c r="P102" s="1" t="str">
        <f>_xlfn.IFS(LEFT(_不良集計ゾーン別ADO[[#This Row],[品番]],2)="アル","アルヴェル",LEFT(_不良集計ゾーン別ADO[[#This Row],[品番]],2)="ノア","ノアヴォク",TRUE,"")</f>
        <v>ノアヴォク</v>
      </c>
      <c r="U102" s="1"/>
    </row>
    <row r="103" spans="1:21" x14ac:dyDescent="0.45">
      <c r="A103">
        <v>99</v>
      </c>
      <c r="B103" s="16">
        <v>46035</v>
      </c>
      <c r="C103" s="1" t="s">
        <v>42</v>
      </c>
      <c r="D103" s="1" t="s">
        <v>45</v>
      </c>
      <c r="E103" s="1" t="s">
        <v>57</v>
      </c>
      <c r="F103" s="1" t="s">
        <v>2</v>
      </c>
      <c r="G103" s="1" t="s">
        <v>96</v>
      </c>
      <c r="H103" s="1">
        <v>3</v>
      </c>
      <c r="I103">
        <v>0</v>
      </c>
      <c r="J103" s="1" t="str" cm="1">
        <f t="array" ref="J103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打出し不良</v>
      </c>
      <c r="K103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打出し不良</v>
      </c>
      <c r="L103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103" s="1" t="str" cm="1">
        <f t="array" ref="M103">_xlfn.XLOOKUP(TEXT(_不良集計ゾーン別ADO[[#This Row],[番号]],"@"),TEXT(_番号ADO[番号],"@"),_番号ADO[発生],"",0,1)</f>
        <v>成形</v>
      </c>
      <c r="N103" s="1" t="str">
        <f>_xlfn.IFS(MID(_不良集計ゾーン別ADO[[#This Row],[品番]],3,2)="Fr","Fr",MID(_不良集計ゾーン別ADO[[#This Row],[品番]],3,2)="Rr","Rr",TRUE,"")</f>
        <v>Rr</v>
      </c>
      <c r="O103" s="1" t="str">
        <f>IF(ISBLANK(_不良集計ゾーン別ADO[[#This Row],[品番]]),"",RIGHT(_不良集計ゾーン別ADO[[#This Row],[品番]],2))</f>
        <v>LH</v>
      </c>
      <c r="P103" s="1" t="str">
        <f>_xlfn.IFS(LEFT(_不良集計ゾーン別ADO[[#This Row],[品番]],2)="アル","アルヴェル",LEFT(_不良集計ゾーン別ADO[[#This Row],[品番]],2)="ノア","ノアヴォク",TRUE,"")</f>
        <v>ノアヴォク</v>
      </c>
      <c r="U103" s="1"/>
    </row>
    <row r="104" spans="1:21" x14ac:dyDescent="0.45">
      <c r="A104">
        <v>100</v>
      </c>
      <c r="B104" s="16">
        <v>46035</v>
      </c>
      <c r="C104" s="1" t="s">
        <v>43</v>
      </c>
      <c r="D104" s="1" t="s">
        <v>45</v>
      </c>
      <c r="E104" s="1" t="s">
        <v>57</v>
      </c>
      <c r="F104" s="1" t="s">
        <v>2</v>
      </c>
      <c r="G104" s="1" t="s">
        <v>96</v>
      </c>
      <c r="H104" s="1">
        <v>3</v>
      </c>
      <c r="I104">
        <v>0</v>
      </c>
      <c r="J104" s="1" t="str" cm="1">
        <f t="array" ref="J104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打出し不良</v>
      </c>
      <c r="K104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打出し不良</v>
      </c>
      <c r="L104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104" s="1" t="str" cm="1">
        <f t="array" ref="M104">_xlfn.XLOOKUP(TEXT(_不良集計ゾーン別ADO[[#This Row],[番号]],"@"),TEXT(_番号ADO[番号],"@"),_番号ADO[発生],"",0,1)</f>
        <v>成形</v>
      </c>
      <c r="N104" s="1" t="str">
        <f>_xlfn.IFS(MID(_不良集計ゾーン別ADO[[#This Row],[品番]],3,2)="Fr","Fr",MID(_不良集計ゾーン別ADO[[#This Row],[品番]],3,2)="Rr","Rr",TRUE,"")</f>
        <v>Rr</v>
      </c>
      <c r="O104" s="1" t="str">
        <f>IF(ISBLANK(_不良集計ゾーン別ADO[[#This Row],[品番]]),"",RIGHT(_不良集計ゾーン別ADO[[#This Row],[品番]],2))</f>
        <v>RH</v>
      </c>
      <c r="P104" s="1" t="str">
        <f>_xlfn.IFS(LEFT(_不良集計ゾーン別ADO[[#This Row],[品番]],2)="アル","アルヴェル",LEFT(_不良集計ゾーン別ADO[[#This Row],[品番]],2)="ノア","ノアヴォク",TRUE,"")</f>
        <v>ノアヴォク</v>
      </c>
      <c r="U104" s="1"/>
    </row>
    <row r="105" spans="1:21" x14ac:dyDescent="0.45">
      <c r="A105">
        <v>101</v>
      </c>
      <c r="B105" s="16">
        <v>46035</v>
      </c>
      <c r="C105" s="1" t="s">
        <v>43</v>
      </c>
      <c r="D105" s="1" t="s">
        <v>45</v>
      </c>
      <c r="E105" s="1" t="s">
        <v>57</v>
      </c>
      <c r="F105" s="1" t="s">
        <v>2</v>
      </c>
      <c r="G105" s="1" t="s">
        <v>71</v>
      </c>
      <c r="H105" s="1">
        <v>1</v>
      </c>
      <c r="I105">
        <v>0</v>
      </c>
      <c r="J105" s="1" t="str" cm="1">
        <f t="array" ref="J105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糸引き</v>
      </c>
      <c r="K105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糸引き</v>
      </c>
      <c r="L105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105" s="1" t="str" cm="1">
        <f t="array" ref="M105">_xlfn.XLOOKUP(TEXT(_不良集計ゾーン別ADO[[#This Row],[番号]],"@"),TEXT(_番号ADO[番号],"@"),_番号ADO[発生],"",0,1)</f>
        <v>成形</v>
      </c>
      <c r="N105" s="1" t="str">
        <f>_xlfn.IFS(MID(_不良集計ゾーン別ADO[[#This Row],[品番]],3,2)="Fr","Fr",MID(_不良集計ゾーン別ADO[[#This Row],[品番]],3,2)="Rr","Rr",TRUE,"")</f>
        <v>Rr</v>
      </c>
      <c r="O105" s="1" t="str">
        <f>IF(ISBLANK(_不良集計ゾーン別ADO[[#This Row],[品番]]),"",RIGHT(_不良集計ゾーン別ADO[[#This Row],[品番]],2))</f>
        <v>RH</v>
      </c>
      <c r="P105" s="1" t="str">
        <f>_xlfn.IFS(LEFT(_不良集計ゾーン別ADO[[#This Row],[品番]],2)="アル","アルヴェル",LEFT(_不良集計ゾーン別ADO[[#This Row],[品番]],2)="ノア","ノアヴォク",TRUE,"")</f>
        <v>ノアヴォク</v>
      </c>
      <c r="U105" s="1"/>
    </row>
    <row r="106" spans="1:21" x14ac:dyDescent="0.45">
      <c r="A106">
        <v>102</v>
      </c>
      <c r="B106" s="16">
        <v>46035</v>
      </c>
      <c r="C106" s="1" t="s">
        <v>43</v>
      </c>
      <c r="D106" s="1" t="s">
        <v>45</v>
      </c>
      <c r="E106" s="1" t="s">
        <v>57</v>
      </c>
      <c r="F106" s="1" t="s">
        <v>4</v>
      </c>
      <c r="G106" s="1" t="s">
        <v>52</v>
      </c>
      <c r="H106" s="1">
        <v>1</v>
      </c>
      <c r="I106">
        <v>0</v>
      </c>
      <c r="J106" s="1" t="str" cm="1">
        <f t="array" ref="J106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106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106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106" s="1" t="str" cm="1">
        <f t="array" ref="M106">_xlfn.XLOOKUP(TEXT(_不良集計ゾーン別ADO[[#This Row],[番号]],"@"),TEXT(_番号ADO[番号],"@"),_番号ADO[発生],"",0,1)</f>
        <v>成形</v>
      </c>
      <c r="N106" s="1" t="str">
        <f>_xlfn.IFS(MID(_不良集計ゾーン別ADO[[#This Row],[品番]],3,2)="Fr","Fr",MID(_不良集計ゾーン別ADO[[#This Row],[品番]],3,2)="Rr","Rr",TRUE,"")</f>
        <v>Rr</v>
      </c>
      <c r="O106" s="1" t="str">
        <f>IF(ISBLANK(_不良集計ゾーン別ADO[[#This Row],[品番]]),"",RIGHT(_不良集計ゾーン別ADO[[#This Row],[品番]],2))</f>
        <v>RH</v>
      </c>
      <c r="P106" s="1" t="str">
        <f>_xlfn.IFS(LEFT(_不良集計ゾーン別ADO[[#This Row],[品番]],2)="アル","アルヴェル",LEFT(_不良集計ゾーン別ADO[[#This Row],[品番]],2)="ノア","ノアヴォク",TRUE,"")</f>
        <v>ノアヴォク</v>
      </c>
      <c r="U106" s="1"/>
    </row>
    <row r="107" spans="1:21" x14ac:dyDescent="0.45">
      <c r="A107">
        <v>103</v>
      </c>
      <c r="B107" s="16">
        <v>46035</v>
      </c>
      <c r="C107" s="1" t="s">
        <v>42</v>
      </c>
      <c r="D107" s="1" t="s">
        <v>103</v>
      </c>
      <c r="E107" s="1" t="s">
        <v>57</v>
      </c>
      <c r="F107" s="1" t="s">
        <v>4</v>
      </c>
      <c r="G107" s="1" t="s">
        <v>52</v>
      </c>
      <c r="H107" s="1">
        <v>1</v>
      </c>
      <c r="I107">
        <v>0</v>
      </c>
      <c r="J107" s="1" t="str" cm="1">
        <f t="array" ref="J107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107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107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107" s="1" t="str" cm="1">
        <f t="array" ref="M107">_xlfn.XLOOKUP(TEXT(_不良集計ゾーン別ADO[[#This Row],[番号]],"@"),TEXT(_番号ADO[番号],"@"),_番号ADO[発生],"",0,1)</f>
        <v>成形</v>
      </c>
      <c r="N107" s="1" t="str">
        <f>_xlfn.IFS(MID(_不良集計ゾーン別ADO[[#This Row],[品番]],3,2)="Fr","Fr",MID(_不良集計ゾーン別ADO[[#This Row],[品番]],3,2)="Rr","Rr",TRUE,"")</f>
        <v>Rr</v>
      </c>
      <c r="O107" s="1" t="str">
        <f>IF(ISBLANK(_不良集計ゾーン別ADO[[#This Row],[品番]]),"",RIGHT(_不良集計ゾーン別ADO[[#This Row],[品番]],2))</f>
        <v>LH</v>
      </c>
      <c r="P107" s="1" t="str">
        <f>_xlfn.IFS(LEFT(_不良集計ゾーン別ADO[[#This Row],[品番]],2)="アル","アルヴェル",LEFT(_不良集計ゾーン別ADO[[#This Row],[品番]],2)="ノア","ノアヴォク",TRUE,"")</f>
        <v>ノアヴォク</v>
      </c>
      <c r="U107" s="1"/>
    </row>
    <row r="108" spans="1:21" x14ac:dyDescent="0.45">
      <c r="A108">
        <v>104</v>
      </c>
      <c r="B108" s="16">
        <v>46035</v>
      </c>
      <c r="C108" s="1" t="s">
        <v>42</v>
      </c>
      <c r="D108" s="1" t="s">
        <v>103</v>
      </c>
      <c r="E108" s="1" t="s">
        <v>57</v>
      </c>
      <c r="F108" s="1" t="s">
        <v>3</v>
      </c>
      <c r="G108" s="1" t="s">
        <v>59</v>
      </c>
      <c r="H108" s="1">
        <v>1</v>
      </c>
      <c r="I108">
        <v>0</v>
      </c>
      <c r="J108" s="1" t="str" cm="1">
        <f t="array" ref="J108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異物</v>
      </c>
      <c r="K108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異物</v>
      </c>
      <c r="L108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108" s="1" t="str" cm="1">
        <f t="array" ref="M108">_xlfn.XLOOKUP(TEXT(_不良集計ゾーン別ADO[[#This Row],[番号]],"@"),TEXT(_番号ADO[番号],"@"),_番号ADO[発生],"",0,1)</f>
        <v>成形</v>
      </c>
      <c r="N108" s="1" t="str">
        <f>_xlfn.IFS(MID(_不良集計ゾーン別ADO[[#This Row],[品番]],3,2)="Fr","Fr",MID(_不良集計ゾーン別ADO[[#This Row],[品番]],3,2)="Rr","Rr",TRUE,"")</f>
        <v>Rr</v>
      </c>
      <c r="O108" s="1" t="str">
        <f>IF(ISBLANK(_不良集計ゾーン別ADO[[#This Row],[品番]]),"",RIGHT(_不良集計ゾーン別ADO[[#This Row],[品番]],2))</f>
        <v>LH</v>
      </c>
      <c r="P108" s="1" t="str">
        <f>_xlfn.IFS(LEFT(_不良集計ゾーン別ADO[[#This Row],[品番]],2)="アル","アルヴェル",LEFT(_不良集計ゾーン別ADO[[#This Row],[品番]],2)="ノア","ノアヴォク",TRUE,"")</f>
        <v>ノアヴォク</v>
      </c>
      <c r="U108" s="1"/>
    </row>
    <row r="109" spans="1:21" x14ac:dyDescent="0.45">
      <c r="A109">
        <v>105</v>
      </c>
      <c r="B109" s="16">
        <v>46035</v>
      </c>
      <c r="C109" s="1" t="s">
        <v>42</v>
      </c>
      <c r="D109" s="1" t="s">
        <v>103</v>
      </c>
      <c r="E109" s="1" t="s">
        <v>57</v>
      </c>
      <c r="F109" s="1" t="s">
        <v>2</v>
      </c>
      <c r="G109" s="1" t="s">
        <v>96</v>
      </c>
      <c r="H109" s="1">
        <v>2</v>
      </c>
      <c r="I109">
        <v>0</v>
      </c>
      <c r="J109" s="1" t="str" cm="1">
        <f t="array" ref="J109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打出し不良</v>
      </c>
      <c r="K109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打出し不良</v>
      </c>
      <c r="L109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109" s="1" t="str" cm="1">
        <f t="array" ref="M109">_xlfn.XLOOKUP(TEXT(_不良集計ゾーン別ADO[[#This Row],[番号]],"@"),TEXT(_番号ADO[番号],"@"),_番号ADO[発生],"",0,1)</f>
        <v>成形</v>
      </c>
      <c r="N109" s="1" t="str">
        <f>_xlfn.IFS(MID(_不良集計ゾーン別ADO[[#This Row],[品番]],3,2)="Fr","Fr",MID(_不良集計ゾーン別ADO[[#This Row],[品番]],3,2)="Rr","Rr",TRUE,"")</f>
        <v>Rr</v>
      </c>
      <c r="O109" s="1" t="str">
        <f>IF(ISBLANK(_不良集計ゾーン別ADO[[#This Row],[品番]]),"",RIGHT(_不良集計ゾーン別ADO[[#This Row],[品番]],2))</f>
        <v>LH</v>
      </c>
      <c r="P109" s="1" t="str">
        <f>_xlfn.IFS(LEFT(_不良集計ゾーン別ADO[[#This Row],[品番]],2)="アル","アルヴェル",LEFT(_不良集計ゾーン別ADO[[#This Row],[品番]],2)="ノア","ノアヴォク",TRUE,"")</f>
        <v>ノアヴォク</v>
      </c>
      <c r="U109" s="1"/>
    </row>
    <row r="110" spans="1:21" x14ac:dyDescent="0.45">
      <c r="A110">
        <v>106</v>
      </c>
      <c r="B110" s="16">
        <v>46035</v>
      </c>
      <c r="C110" s="1" t="s">
        <v>42</v>
      </c>
      <c r="D110" s="1" t="s">
        <v>103</v>
      </c>
      <c r="E110" s="1" t="s">
        <v>57</v>
      </c>
      <c r="F110" s="1" t="s">
        <v>2</v>
      </c>
      <c r="G110" s="1" t="s">
        <v>52</v>
      </c>
      <c r="H110" s="1">
        <v>1</v>
      </c>
      <c r="I110">
        <v>0</v>
      </c>
      <c r="J110" s="1" t="str" cm="1">
        <f t="array" ref="J110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110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110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110" s="1" t="str" cm="1">
        <f t="array" ref="M110">_xlfn.XLOOKUP(TEXT(_不良集計ゾーン別ADO[[#This Row],[番号]],"@"),TEXT(_番号ADO[番号],"@"),_番号ADO[発生],"",0,1)</f>
        <v>成形</v>
      </c>
      <c r="N110" s="1" t="str">
        <f>_xlfn.IFS(MID(_不良集計ゾーン別ADO[[#This Row],[品番]],3,2)="Fr","Fr",MID(_不良集計ゾーン別ADO[[#This Row],[品番]],3,2)="Rr","Rr",TRUE,"")</f>
        <v>Rr</v>
      </c>
      <c r="O110" s="1" t="str">
        <f>IF(ISBLANK(_不良集計ゾーン別ADO[[#This Row],[品番]]),"",RIGHT(_不良集計ゾーン別ADO[[#This Row],[品番]],2))</f>
        <v>LH</v>
      </c>
      <c r="P110" s="1" t="str">
        <f>_xlfn.IFS(LEFT(_不良集計ゾーン別ADO[[#This Row],[品番]],2)="アル","アルヴェル",LEFT(_不良集計ゾーン別ADO[[#This Row],[品番]],2)="ノア","ノアヴォク",TRUE,"")</f>
        <v>ノアヴォク</v>
      </c>
      <c r="U110" s="1"/>
    </row>
    <row r="111" spans="1:21" x14ac:dyDescent="0.45">
      <c r="A111">
        <v>107</v>
      </c>
      <c r="B111" s="16">
        <v>46035</v>
      </c>
      <c r="C111" s="1" t="s">
        <v>42</v>
      </c>
      <c r="D111" s="1" t="s">
        <v>103</v>
      </c>
      <c r="E111" s="1" t="s">
        <v>57</v>
      </c>
      <c r="F111" s="1" t="s">
        <v>2</v>
      </c>
      <c r="G111" s="1" t="s">
        <v>59</v>
      </c>
      <c r="H111" s="1">
        <v>1</v>
      </c>
      <c r="I111">
        <v>0</v>
      </c>
      <c r="J111" s="1" t="str" cm="1">
        <f t="array" ref="J111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異物</v>
      </c>
      <c r="K111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異物</v>
      </c>
      <c r="L111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111" s="1" t="str" cm="1">
        <f t="array" ref="M111">_xlfn.XLOOKUP(TEXT(_不良集計ゾーン別ADO[[#This Row],[番号]],"@"),TEXT(_番号ADO[番号],"@"),_番号ADO[発生],"",0,1)</f>
        <v>成形</v>
      </c>
      <c r="N111" s="1" t="str">
        <f>_xlfn.IFS(MID(_不良集計ゾーン別ADO[[#This Row],[品番]],3,2)="Fr","Fr",MID(_不良集計ゾーン別ADO[[#This Row],[品番]],3,2)="Rr","Rr",TRUE,"")</f>
        <v>Rr</v>
      </c>
      <c r="O111" s="1" t="str">
        <f>IF(ISBLANK(_不良集計ゾーン別ADO[[#This Row],[品番]]),"",RIGHT(_不良集計ゾーン別ADO[[#This Row],[品番]],2))</f>
        <v>LH</v>
      </c>
      <c r="P111" s="1" t="str">
        <f>_xlfn.IFS(LEFT(_不良集計ゾーン別ADO[[#This Row],[品番]],2)="アル","アルヴェル",LEFT(_不良集計ゾーン別ADO[[#This Row],[品番]],2)="ノア","ノアヴォク",TRUE,"")</f>
        <v>ノアヴォク</v>
      </c>
      <c r="U111" s="1"/>
    </row>
    <row r="112" spans="1:21" x14ac:dyDescent="0.45">
      <c r="A112">
        <v>108</v>
      </c>
      <c r="B112" s="16">
        <v>46035</v>
      </c>
      <c r="C112" s="1" t="s">
        <v>43</v>
      </c>
      <c r="D112" s="1" t="s">
        <v>103</v>
      </c>
      <c r="E112" s="1" t="s">
        <v>57</v>
      </c>
      <c r="F112" s="1" t="s">
        <v>2</v>
      </c>
      <c r="G112" s="1" t="s">
        <v>96</v>
      </c>
      <c r="H112" s="1">
        <v>2</v>
      </c>
      <c r="I112">
        <v>0</v>
      </c>
      <c r="J112" s="1" t="str" cm="1">
        <f t="array" ref="J112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打出し不良</v>
      </c>
      <c r="K112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打出し不良</v>
      </c>
      <c r="L112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112" s="1" t="str" cm="1">
        <f t="array" ref="M112">_xlfn.XLOOKUP(TEXT(_不良集計ゾーン別ADO[[#This Row],[番号]],"@"),TEXT(_番号ADO[番号],"@"),_番号ADO[発生],"",0,1)</f>
        <v>成形</v>
      </c>
      <c r="N112" s="1" t="str">
        <f>_xlfn.IFS(MID(_不良集計ゾーン別ADO[[#This Row],[品番]],3,2)="Fr","Fr",MID(_不良集計ゾーン別ADO[[#This Row],[品番]],3,2)="Rr","Rr",TRUE,"")</f>
        <v>Rr</v>
      </c>
      <c r="O112" s="1" t="str">
        <f>IF(ISBLANK(_不良集計ゾーン別ADO[[#This Row],[品番]]),"",RIGHT(_不良集計ゾーン別ADO[[#This Row],[品番]],2))</f>
        <v>RH</v>
      </c>
      <c r="P112" s="1" t="str">
        <f>_xlfn.IFS(LEFT(_不良集計ゾーン別ADO[[#This Row],[品番]],2)="アル","アルヴェル",LEFT(_不良集計ゾーン別ADO[[#This Row],[品番]],2)="ノア","ノアヴォク",TRUE,"")</f>
        <v>ノアヴォク</v>
      </c>
      <c r="U112" s="1"/>
    </row>
    <row r="113" spans="1:21" x14ac:dyDescent="0.45">
      <c r="A113">
        <v>109</v>
      </c>
      <c r="B113" s="16">
        <v>46036</v>
      </c>
      <c r="C113" s="1" t="s">
        <v>42</v>
      </c>
      <c r="D113" s="1" t="s">
        <v>47</v>
      </c>
      <c r="E113" s="1" t="s">
        <v>57</v>
      </c>
      <c r="F113" s="1" t="s">
        <v>3</v>
      </c>
      <c r="G113" s="1" t="s">
        <v>72</v>
      </c>
      <c r="H113" s="1">
        <v>1</v>
      </c>
      <c r="I113">
        <v>0</v>
      </c>
      <c r="J113" s="1" t="str" cm="1">
        <f t="array" ref="J113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シルバー</v>
      </c>
      <c r="K113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シルバー</v>
      </c>
      <c r="L113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113" s="1" t="str" cm="1">
        <f t="array" ref="M113">_xlfn.XLOOKUP(TEXT(_不良集計ゾーン別ADO[[#This Row],[番号]],"@"),TEXT(_番号ADO[番号],"@"),_番号ADO[発生],"",0,1)</f>
        <v>成形</v>
      </c>
      <c r="N113" s="1" t="str">
        <f>_xlfn.IFS(MID(_不良集計ゾーン別ADO[[#This Row],[品番]],3,2)="Fr","Fr",MID(_不良集計ゾーン別ADO[[#This Row],[品番]],3,2)="Rr","Rr",TRUE,"")</f>
        <v>Rr</v>
      </c>
      <c r="O113" s="1" t="str">
        <f>IF(ISBLANK(_不良集計ゾーン別ADO[[#This Row],[品番]]),"",RIGHT(_不良集計ゾーン別ADO[[#This Row],[品番]],2))</f>
        <v>LH</v>
      </c>
      <c r="P113" s="1" t="str">
        <f>_xlfn.IFS(LEFT(_不良集計ゾーン別ADO[[#This Row],[品番]],2)="アル","アルヴェル",LEFT(_不良集計ゾーン別ADO[[#This Row],[品番]],2)="ノア","ノアヴォク",TRUE,"")</f>
        <v>ノアヴォク</v>
      </c>
      <c r="U113" s="1"/>
    </row>
    <row r="114" spans="1:21" x14ac:dyDescent="0.45">
      <c r="A114">
        <v>110</v>
      </c>
      <c r="B114" s="16">
        <v>46036</v>
      </c>
      <c r="C114" s="1" t="s">
        <v>42</v>
      </c>
      <c r="D114" s="1" t="s">
        <v>47</v>
      </c>
      <c r="E114" s="1" t="s">
        <v>57</v>
      </c>
      <c r="F114" s="1" t="s">
        <v>2</v>
      </c>
      <c r="G114" s="1" t="s">
        <v>96</v>
      </c>
      <c r="H114" s="1">
        <v>2</v>
      </c>
      <c r="I114">
        <v>0</v>
      </c>
      <c r="J114" s="1" t="str" cm="1">
        <f t="array" ref="J114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打出し不良</v>
      </c>
      <c r="K114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打出し不良</v>
      </c>
      <c r="L114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114" s="1" t="str" cm="1">
        <f t="array" ref="M114">_xlfn.XLOOKUP(TEXT(_不良集計ゾーン別ADO[[#This Row],[番号]],"@"),TEXT(_番号ADO[番号],"@"),_番号ADO[発生],"",0,1)</f>
        <v>成形</v>
      </c>
      <c r="N114" s="1" t="str">
        <f>_xlfn.IFS(MID(_不良集計ゾーン別ADO[[#This Row],[品番]],3,2)="Fr","Fr",MID(_不良集計ゾーン別ADO[[#This Row],[品番]],3,2)="Rr","Rr",TRUE,"")</f>
        <v>Rr</v>
      </c>
      <c r="O114" s="1" t="str">
        <f>IF(ISBLANK(_不良集計ゾーン別ADO[[#This Row],[品番]]),"",RIGHT(_不良集計ゾーン別ADO[[#This Row],[品番]],2))</f>
        <v>LH</v>
      </c>
      <c r="P114" s="1" t="str">
        <f>_xlfn.IFS(LEFT(_不良集計ゾーン別ADO[[#This Row],[品番]],2)="アル","アルヴェル",LEFT(_不良集計ゾーン別ADO[[#This Row],[品番]],2)="ノア","ノアヴォク",TRUE,"")</f>
        <v>ノアヴォク</v>
      </c>
      <c r="U114" s="1"/>
    </row>
    <row r="115" spans="1:21" x14ac:dyDescent="0.45">
      <c r="A115">
        <v>111</v>
      </c>
      <c r="B115" s="16">
        <v>46036</v>
      </c>
      <c r="C115" s="1" t="s">
        <v>42</v>
      </c>
      <c r="D115" s="1" t="s">
        <v>47</v>
      </c>
      <c r="E115" s="1" t="s">
        <v>57</v>
      </c>
      <c r="F115" s="1" t="s">
        <v>0</v>
      </c>
      <c r="G115" s="1" t="s">
        <v>64</v>
      </c>
      <c r="H115" s="1">
        <v>1</v>
      </c>
      <c r="I115">
        <v>0</v>
      </c>
      <c r="J115" s="1" t="str" cm="1">
        <f t="array" ref="J115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ウエルド</v>
      </c>
      <c r="K115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ウエルド</v>
      </c>
      <c r="L115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115" s="1" t="str" cm="1">
        <f t="array" ref="M115">_xlfn.XLOOKUP(TEXT(_不良集計ゾーン別ADO[[#This Row],[番号]],"@"),TEXT(_番号ADO[番号],"@"),_番号ADO[発生],"",0,1)</f>
        <v>成形</v>
      </c>
      <c r="N115" s="1" t="str">
        <f>_xlfn.IFS(MID(_不良集計ゾーン別ADO[[#This Row],[品番]],3,2)="Fr","Fr",MID(_不良集計ゾーン別ADO[[#This Row],[品番]],3,2)="Rr","Rr",TRUE,"")</f>
        <v>Rr</v>
      </c>
      <c r="O115" s="1" t="str">
        <f>IF(ISBLANK(_不良集計ゾーン別ADO[[#This Row],[品番]]),"",RIGHT(_不良集計ゾーン別ADO[[#This Row],[品番]],2))</f>
        <v>LH</v>
      </c>
      <c r="P115" s="1" t="str">
        <f>_xlfn.IFS(LEFT(_不良集計ゾーン別ADO[[#This Row],[品番]],2)="アル","アルヴェル",LEFT(_不良集計ゾーン別ADO[[#This Row],[品番]],2)="ノア","ノアヴォク",TRUE,"")</f>
        <v>ノアヴォク</v>
      </c>
      <c r="U115" s="1"/>
    </row>
    <row r="116" spans="1:21" x14ac:dyDescent="0.45">
      <c r="A116">
        <v>112</v>
      </c>
      <c r="B116" s="16">
        <v>46036</v>
      </c>
      <c r="C116" s="1" t="s">
        <v>43</v>
      </c>
      <c r="D116" s="1" t="s">
        <v>47</v>
      </c>
      <c r="E116" s="1" t="s">
        <v>57</v>
      </c>
      <c r="F116" s="1" t="s">
        <v>2</v>
      </c>
      <c r="G116" s="1" t="s">
        <v>96</v>
      </c>
      <c r="H116" s="1">
        <v>2</v>
      </c>
      <c r="I116">
        <v>0</v>
      </c>
      <c r="J116" s="1" t="str" cm="1">
        <f t="array" ref="J116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打出し不良</v>
      </c>
      <c r="K116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打出し不良</v>
      </c>
      <c r="L116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116" s="1" t="str" cm="1">
        <f t="array" ref="M116">_xlfn.XLOOKUP(TEXT(_不良集計ゾーン別ADO[[#This Row],[番号]],"@"),TEXT(_番号ADO[番号],"@"),_番号ADO[発生],"",0,1)</f>
        <v>成形</v>
      </c>
      <c r="N116" s="1" t="str">
        <f>_xlfn.IFS(MID(_不良集計ゾーン別ADO[[#This Row],[品番]],3,2)="Fr","Fr",MID(_不良集計ゾーン別ADO[[#This Row],[品番]],3,2)="Rr","Rr",TRUE,"")</f>
        <v>Rr</v>
      </c>
      <c r="O116" s="1" t="str">
        <f>IF(ISBLANK(_不良集計ゾーン別ADO[[#This Row],[品番]]),"",RIGHT(_不良集計ゾーン別ADO[[#This Row],[品番]],2))</f>
        <v>RH</v>
      </c>
      <c r="P116" s="1" t="str">
        <f>_xlfn.IFS(LEFT(_不良集計ゾーン別ADO[[#This Row],[品番]],2)="アル","アルヴェル",LEFT(_不良集計ゾーン別ADO[[#This Row],[品番]],2)="ノア","ノアヴォク",TRUE,"")</f>
        <v>ノアヴォク</v>
      </c>
      <c r="U116" s="1"/>
    </row>
    <row r="117" spans="1:21" x14ac:dyDescent="0.45">
      <c r="A117">
        <v>113</v>
      </c>
      <c r="B117" s="16">
        <v>46036</v>
      </c>
      <c r="C117" s="1" t="s">
        <v>43</v>
      </c>
      <c r="D117" s="1" t="s">
        <v>47</v>
      </c>
      <c r="E117" s="1" t="s">
        <v>57</v>
      </c>
      <c r="F117" s="1" t="s">
        <v>2</v>
      </c>
      <c r="G117" s="1" t="s">
        <v>71</v>
      </c>
      <c r="H117" s="1">
        <v>2</v>
      </c>
      <c r="I117">
        <v>0</v>
      </c>
      <c r="J117" s="1" t="str" cm="1">
        <f t="array" ref="J117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糸引き</v>
      </c>
      <c r="K117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糸引き</v>
      </c>
      <c r="L117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117" s="1" t="str" cm="1">
        <f t="array" ref="M117">_xlfn.XLOOKUP(TEXT(_不良集計ゾーン別ADO[[#This Row],[番号]],"@"),TEXT(_番号ADO[番号],"@"),_番号ADO[発生],"",0,1)</f>
        <v>成形</v>
      </c>
      <c r="N117" s="1" t="str">
        <f>_xlfn.IFS(MID(_不良集計ゾーン別ADO[[#This Row],[品番]],3,2)="Fr","Fr",MID(_不良集計ゾーン別ADO[[#This Row],[品番]],3,2)="Rr","Rr",TRUE,"")</f>
        <v>Rr</v>
      </c>
      <c r="O117" s="1" t="str">
        <f>IF(ISBLANK(_不良集計ゾーン別ADO[[#This Row],[品番]]),"",RIGHT(_不良集計ゾーン別ADO[[#This Row],[品番]],2))</f>
        <v>RH</v>
      </c>
      <c r="P117" s="1" t="str">
        <f>_xlfn.IFS(LEFT(_不良集計ゾーン別ADO[[#This Row],[品番]],2)="アル","アルヴェル",LEFT(_不良集計ゾーン別ADO[[#This Row],[品番]],2)="ノア","ノアヴォク",TRUE,"")</f>
        <v>ノアヴォク</v>
      </c>
      <c r="U117" s="1"/>
    </row>
    <row r="118" spans="1:21" x14ac:dyDescent="0.45">
      <c r="A118">
        <v>114</v>
      </c>
      <c r="B118" s="16">
        <v>46037</v>
      </c>
      <c r="C118" s="1" t="s">
        <v>46</v>
      </c>
      <c r="D118" s="1" t="s">
        <v>105</v>
      </c>
      <c r="E118" s="1" t="s">
        <v>57</v>
      </c>
      <c r="F118" s="1" t="s">
        <v>2</v>
      </c>
      <c r="G118" s="1" t="s">
        <v>96</v>
      </c>
      <c r="H118" s="1">
        <v>2</v>
      </c>
      <c r="I118">
        <v>0</v>
      </c>
      <c r="J118" s="1" t="str" cm="1">
        <f t="array" ref="J118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打出し不良</v>
      </c>
      <c r="K118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打出し不良</v>
      </c>
      <c r="L118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118" s="1" t="str" cm="1">
        <f t="array" ref="M118">_xlfn.XLOOKUP(TEXT(_不良集計ゾーン別ADO[[#This Row],[番号]],"@"),TEXT(_番号ADO[番号],"@"),_番号ADO[発生],"",0,1)</f>
        <v>成形</v>
      </c>
      <c r="N118" s="1" t="str">
        <f>_xlfn.IFS(MID(_不良集計ゾーン別ADO[[#This Row],[品番]],3,2)="Fr","Fr",MID(_不良集計ゾーン別ADO[[#This Row],[品番]],3,2)="Rr","Rr",TRUE,"")</f>
        <v>Rr</v>
      </c>
      <c r="O118" s="1" t="str">
        <f>IF(ISBLANK(_不良集計ゾーン別ADO[[#This Row],[品番]]),"",RIGHT(_不良集計ゾーン別ADO[[#This Row],[品番]],2))</f>
        <v>LH</v>
      </c>
      <c r="P118" s="1" t="str">
        <f>_xlfn.IFS(LEFT(_不良集計ゾーン別ADO[[#This Row],[品番]],2)="アル","アルヴェル",LEFT(_不良集計ゾーン別ADO[[#This Row],[品番]],2)="ノア","ノアヴォク",TRUE,"")</f>
        <v>アルヴェル</v>
      </c>
      <c r="U118" s="1"/>
    </row>
    <row r="119" spans="1:21" x14ac:dyDescent="0.45">
      <c r="A119">
        <v>115</v>
      </c>
      <c r="B119" s="16">
        <v>46037</v>
      </c>
      <c r="C119" s="1" t="s">
        <v>49</v>
      </c>
      <c r="D119" s="1" t="s">
        <v>105</v>
      </c>
      <c r="E119" s="1" t="s">
        <v>57</v>
      </c>
      <c r="F119" s="1" t="s">
        <v>2</v>
      </c>
      <c r="G119" s="1" t="s">
        <v>96</v>
      </c>
      <c r="H119" s="1">
        <v>2</v>
      </c>
      <c r="I119">
        <v>0</v>
      </c>
      <c r="J119" s="1" t="str" cm="1">
        <f t="array" ref="J119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打出し不良</v>
      </c>
      <c r="K119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打出し不良</v>
      </c>
      <c r="L119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119" s="1" t="str" cm="1">
        <f t="array" ref="M119">_xlfn.XLOOKUP(TEXT(_不良集計ゾーン別ADO[[#This Row],[番号]],"@"),TEXT(_番号ADO[番号],"@"),_番号ADO[発生],"",0,1)</f>
        <v>成形</v>
      </c>
      <c r="N119" s="1" t="str">
        <f>_xlfn.IFS(MID(_不良集計ゾーン別ADO[[#This Row],[品番]],3,2)="Fr","Fr",MID(_不良集計ゾーン別ADO[[#This Row],[品番]],3,2)="Rr","Rr",TRUE,"")</f>
        <v>Rr</v>
      </c>
      <c r="O119" s="1" t="str">
        <f>IF(ISBLANK(_不良集計ゾーン別ADO[[#This Row],[品番]]),"",RIGHT(_不良集計ゾーン別ADO[[#This Row],[品番]],2))</f>
        <v>RH</v>
      </c>
      <c r="P119" s="1" t="str">
        <f>_xlfn.IFS(LEFT(_不良集計ゾーン別ADO[[#This Row],[品番]],2)="アル","アルヴェル",LEFT(_不良集計ゾーン別ADO[[#This Row],[品番]],2)="ノア","ノアヴォク",TRUE,"")</f>
        <v>アルヴェル</v>
      </c>
      <c r="U119" s="1"/>
    </row>
    <row r="120" spans="1:21" x14ac:dyDescent="0.45">
      <c r="A120">
        <v>116</v>
      </c>
      <c r="B120" s="16">
        <v>46034</v>
      </c>
      <c r="C120" s="1" t="s">
        <v>54</v>
      </c>
      <c r="D120" s="1" t="s">
        <v>192</v>
      </c>
      <c r="E120" s="1" t="s">
        <v>55</v>
      </c>
      <c r="F120" s="1" t="s">
        <v>0</v>
      </c>
      <c r="G120" s="1" t="s">
        <v>56</v>
      </c>
      <c r="H120" s="1">
        <v>1</v>
      </c>
      <c r="I120">
        <v>0</v>
      </c>
      <c r="J120" s="1" t="str" cm="1">
        <f t="array" ref="J120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ライン不良</v>
      </c>
      <c r="K120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ライン不良</v>
      </c>
      <c r="L120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塗装</v>
      </c>
      <c r="M120" s="1" t="str" cm="1">
        <f t="array" ref="M120">_xlfn.XLOOKUP(TEXT(_不良集計ゾーン別ADO[[#This Row],[番号]],"@"),TEXT(_番号ADO[番号],"@"),_番号ADO[発生],"",0,1)</f>
        <v>塗装</v>
      </c>
      <c r="N120" s="1" t="str">
        <f>_xlfn.IFS(MID(_不良集計ゾーン別ADO[[#This Row],[品番]],3,2)="Fr","Fr",MID(_不良集計ゾーン別ADO[[#This Row],[品番]],3,2)="Rr","Rr",TRUE,"")</f>
        <v>Fr</v>
      </c>
      <c r="O120" s="1" t="str">
        <f>IF(ISBLANK(_不良集計ゾーン別ADO[[#This Row],[品番]]),"",RIGHT(_不良集計ゾーン別ADO[[#This Row],[品番]],2))</f>
        <v>RH</v>
      </c>
      <c r="P120" s="1" t="str">
        <f>_xlfn.IFS(LEFT(_不良集計ゾーン別ADO[[#This Row],[品番]],2)="アル","アルヴェル",LEFT(_不良集計ゾーン別ADO[[#This Row],[品番]],2)="ノア","ノアヴォク",TRUE,"")</f>
        <v>アルヴェル</v>
      </c>
      <c r="U120" s="1"/>
    </row>
    <row r="121" spans="1:21" x14ac:dyDescent="0.45">
      <c r="A121">
        <v>117</v>
      </c>
      <c r="B121" s="16">
        <v>46034</v>
      </c>
      <c r="C121" s="1" t="s">
        <v>35</v>
      </c>
      <c r="D121" s="1" t="s">
        <v>89</v>
      </c>
      <c r="E121" s="1" t="s">
        <v>55</v>
      </c>
      <c r="F121" s="1" t="s">
        <v>0</v>
      </c>
      <c r="G121" s="1" t="s">
        <v>52</v>
      </c>
      <c r="H121" s="1">
        <v>1</v>
      </c>
      <c r="I121">
        <v>0</v>
      </c>
      <c r="J121" s="1" t="str" cm="1">
        <f t="array" ref="J121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121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121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塗装</v>
      </c>
      <c r="M121" s="1" t="str" cm="1">
        <f t="array" ref="M121">_xlfn.XLOOKUP(TEXT(_不良集計ゾーン別ADO[[#This Row],[番号]],"@"),TEXT(_番号ADO[番号],"@"),_番号ADO[発生],"",0,1)</f>
        <v>成形</v>
      </c>
      <c r="N121" s="1" t="str">
        <f>_xlfn.IFS(MID(_不良集計ゾーン別ADO[[#This Row],[品番]],3,2)="Fr","Fr",MID(_不良集計ゾーン別ADO[[#This Row],[品番]],3,2)="Rr","Rr",TRUE,"")</f>
        <v>Fr</v>
      </c>
      <c r="O121" s="1" t="str">
        <f>IF(ISBLANK(_不良集計ゾーン別ADO[[#This Row],[品番]]),"",RIGHT(_不良集計ゾーン別ADO[[#This Row],[品番]],2))</f>
        <v>LH</v>
      </c>
      <c r="P121" s="1" t="str">
        <f>_xlfn.IFS(LEFT(_不良集計ゾーン別ADO[[#This Row],[品番]],2)="アル","アルヴェル",LEFT(_不良集計ゾーン別ADO[[#This Row],[品番]],2)="ノア","ノアヴォク",TRUE,"")</f>
        <v>ノアヴォク</v>
      </c>
      <c r="U121" s="1"/>
    </row>
    <row r="122" spans="1:21" x14ac:dyDescent="0.45">
      <c r="A122">
        <v>118</v>
      </c>
      <c r="B122" s="16">
        <v>46034</v>
      </c>
      <c r="C122" s="1" t="s">
        <v>54</v>
      </c>
      <c r="D122" s="1" t="s">
        <v>193</v>
      </c>
      <c r="E122" s="1" t="s">
        <v>55</v>
      </c>
      <c r="F122" s="1" t="s">
        <v>2</v>
      </c>
      <c r="G122" s="1" t="s">
        <v>75</v>
      </c>
      <c r="H122" s="1">
        <v>2</v>
      </c>
      <c r="I122">
        <v>0</v>
      </c>
      <c r="J122" s="1" t="str" cm="1">
        <f t="array" ref="J122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塗装面汚い</v>
      </c>
      <c r="K122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塗装面汚い</v>
      </c>
      <c r="L122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塗装</v>
      </c>
      <c r="M122" s="1" t="str" cm="1">
        <f t="array" ref="M122">_xlfn.XLOOKUP(TEXT(_不良集計ゾーン別ADO[[#This Row],[番号]],"@"),TEXT(_番号ADO[番号],"@"),_番号ADO[発生],"",0,1)</f>
        <v>塗装</v>
      </c>
      <c r="N122" s="1" t="str">
        <f>_xlfn.IFS(MID(_不良集計ゾーン別ADO[[#This Row],[品番]],3,2)="Fr","Fr",MID(_不良集計ゾーン別ADO[[#This Row],[品番]],3,2)="Rr","Rr",TRUE,"")</f>
        <v>Fr</v>
      </c>
      <c r="O122" s="1" t="str">
        <f>IF(ISBLANK(_不良集計ゾーン別ADO[[#This Row],[品番]]),"",RIGHT(_不良集計ゾーン別ADO[[#This Row],[品番]],2))</f>
        <v>RH</v>
      </c>
      <c r="P122" s="1" t="str">
        <f>_xlfn.IFS(LEFT(_不良集計ゾーン別ADO[[#This Row],[品番]],2)="アル","アルヴェル",LEFT(_不良集計ゾーン別ADO[[#This Row],[品番]],2)="ノア","ノアヴォク",TRUE,"")</f>
        <v>アルヴェル</v>
      </c>
      <c r="U122" s="1"/>
    </row>
    <row r="123" spans="1:21" x14ac:dyDescent="0.45">
      <c r="A123">
        <v>119</v>
      </c>
      <c r="B123" s="16">
        <v>46035</v>
      </c>
      <c r="C123" s="1" t="s">
        <v>43</v>
      </c>
      <c r="D123" s="1" t="s">
        <v>89</v>
      </c>
      <c r="E123" s="1" t="s">
        <v>55</v>
      </c>
      <c r="F123" s="1" t="s">
        <v>2</v>
      </c>
      <c r="G123" s="1" t="s">
        <v>72</v>
      </c>
      <c r="H123" s="1">
        <v>1</v>
      </c>
      <c r="I123">
        <v>0</v>
      </c>
      <c r="J123" s="1" t="str" cm="1">
        <f t="array" ref="J123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シルバー</v>
      </c>
      <c r="K123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シルバー</v>
      </c>
      <c r="L123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塗装</v>
      </c>
      <c r="M123" s="1" t="str" cm="1">
        <f t="array" ref="M123">_xlfn.XLOOKUP(TEXT(_不良集計ゾーン別ADO[[#This Row],[番号]],"@"),TEXT(_番号ADO[番号],"@"),_番号ADO[発生],"",0,1)</f>
        <v>成形</v>
      </c>
      <c r="N123" s="1" t="str">
        <f>_xlfn.IFS(MID(_不良集計ゾーン別ADO[[#This Row],[品番]],3,2)="Fr","Fr",MID(_不良集計ゾーン別ADO[[#This Row],[品番]],3,2)="Rr","Rr",TRUE,"")</f>
        <v>Rr</v>
      </c>
      <c r="O123" s="1" t="str">
        <f>IF(ISBLANK(_不良集計ゾーン別ADO[[#This Row],[品番]]),"",RIGHT(_不良集計ゾーン別ADO[[#This Row],[品番]],2))</f>
        <v>RH</v>
      </c>
      <c r="P123" s="1" t="str">
        <f>_xlfn.IFS(LEFT(_不良集計ゾーン別ADO[[#This Row],[品番]],2)="アル","アルヴェル",LEFT(_不良集計ゾーン別ADO[[#This Row],[品番]],2)="ノア","ノアヴォク",TRUE,"")</f>
        <v>ノアヴォク</v>
      </c>
      <c r="U123" s="1"/>
    </row>
    <row r="124" spans="1:21" x14ac:dyDescent="0.45">
      <c r="A124">
        <v>120</v>
      </c>
      <c r="B124" s="16">
        <v>46035</v>
      </c>
      <c r="C124" s="1" t="s">
        <v>41</v>
      </c>
      <c r="D124" s="1" t="s">
        <v>103</v>
      </c>
      <c r="E124" s="1" t="s">
        <v>55</v>
      </c>
      <c r="F124" s="1" t="s">
        <v>0</v>
      </c>
      <c r="G124" s="1" t="s">
        <v>80</v>
      </c>
      <c r="H124" s="1">
        <v>2</v>
      </c>
      <c r="I124">
        <v>0</v>
      </c>
      <c r="J124" s="1" t="str" cm="1">
        <f t="array" ref="J124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マット</v>
      </c>
      <c r="K124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マット</v>
      </c>
      <c r="L124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塗装</v>
      </c>
      <c r="M124" s="1" t="str" cm="1">
        <f t="array" ref="M124">_xlfn.XLOOKUP(TEXT(_不良集計ゾーン別ADO[[#This Row],[番号]],"@"),TEXT(_番号ADO[番号],"@"),_番号ADO[発生],"",0,1)</f>
        <v>塗装</v>
      </c>
      <c r="N124" s="1" t="str">
        <f>_xlfn.IFS(MID(_不良集計ゾーン別ADO[[#This Row],[品番]],3,2)="Fr","Fr",MID(_不良集計ゾーン別ADO[[#This Row],[品番]],3,2)="Rr","Rr",TRUE,"")</f>
        <v>Fr</v>
      </c>
      <c r="O124" s="1" t="str">
        <f>IF(ISBLANK(_不良集計ゾーン別ADO[[#This Row],[品番]]),"",RIGHT(_不良集計ゾーン別ADO[[#This Row],[品番]],2))</f>
        <v>RH</v>
      </c>
      <c r="P124" s="1" t="str">
        <f>_xlfn.IFS(LEFT(_不良集計ゾーン別ADO[[#This Row],[品番]],2)="アル","アルヴェル",LEFT(_不良集計ゾーン別ADO[[#This Row],[品番]],2)="ノア","ノアヴォク",TRUE,"")</f>
        <v>ノアヴォク</v>
      </c>
      <c r="U124" s="1"/>
    </row>
    <row r="125" spans="1:21" x14ac:dyDescent="0.45">
      <c r="A125">
        <v>121</v>
      </c>
      <c r="B125" s="16">
        <v>46035</v>
      </c>
      <c r="C125" s="1" t="s">
        <v>43</v>
      </c>
      <c r="D125" s="1" t="s">
        <v>103</v>
      </c>
      <c r="E125" s="1" t="s">
        <v>55</v>
      </c>
      <c r="F125" s="1" t="s">
        <v>1</v>
      </c>
      <c r="G125" s="1" t="s">
        <v>80</v>
      </c>
      <c r="H125" s="1">
        <v>1</v>
      </c>
      <c r="I125">
        <v>0</v>
      </c>
      <c r="J125" s="1" t="str" cm="1">
        <f t="array" ref="J125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マット</v>
      </c>
      <c r="K125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マット</v>
      </c>
      <c r="L125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塗装</v>
      </c>
      <c r="M125" s="1" t="str" cm="1">
        <f t="array" ref="M125">_xlfn.XLOOKUP(TEXT(_不良集計ゾーン別ADO[[#This Row],[番号]],"@"),TEXT(_番号ADO[番号],"@"),_番号ADO[発生],"",0,1)</f>
        <v>塗装</v>
      </c>
      <c r="N125" s="1" t="str">
        <f>_xlfn.IFS(MID(_不良集計ゾーン別ADO[[#This Row],[品番]],3,2)="Fr","Fr",MID(_不良集計ゾーン別ADO[[#This Row],[品番]],3,2)="Rr","Rr",TRUE,"")</f>
        <v>Rr</v>
      </c>
      <c r="O125" s="1" t="str">
        <f>IF(ISBLANK(_不良集計ゾーン別ADO[[#This Row],[品番]]),"",RIGHT(_不良集計ゾーン別ADO[[#This Row],[品番]],2))</f>
        <v>RH</v>
      </c>
      <c r="P125" s="1" t="str">
        <f>_xlfn.IFS(LEFT(_不良集計ゾーン別ADO[[#This Row],[品番]],2)="アル","アルヴェル",LEFT(_不良集計ゾーン別ADO[[#This Row],[品番]],2)="ノア","ノアヴォク",TRUE,"")</f>
        <v>ノアヴォク</v>
      </c>
      <c r="U125" s="1"/>
    </row>
    <row r="126" spans="1:21" x14ac:dyDescent="0.45">
      <c r="A126">
        <v>122</v>
      </c>
      <c r="B126" s="16">
        <v>46036</v>
      </c>
      <c r="C126" s="1" t="s">
        <v>41</v>
      </c>
      <c r="D126" s="1" t="s">
        <v>45</v>
      </c>
      <c r="E126" s="1" t="s">
        <v>55</v>
      </c>
      <c r="F126" s="1" t="s">
        <v>0</v>
      </c>
      <c r="G126" s="1" t="s">
        <v>89</v>
      </c>
      <c r="H126" s="1">
        <v>2</v>
      </c>
      <c r="I126">
        <v>0</v>
      </c>
      <c r="J126" s="1" t="str" cm="1">
        <f t="array" ref="J126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たれ</v>
      </c>
      <c r="K126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たれ</v>
      </c>
      <c r="L126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塗装</v>
      </c>
      <c r="M126" s="1" t="str" cm="1">
        <f t="array" ref="M126">_xlfn.XLOOKUP(TEXT(_不良集計ゾーン別ADO[[#This Row],[番号]],"@"),TEXT(_番号ADO[番号],"@"),_番号ADO[発生],"",0,1)</f>
        <v>塗装</v>
      </c>
      <c r="N126" s="1" t="str">
        <f>_xlfn.IFS(MID(_不良集計ゾーン別ADO[[#This Row],[品番]],3,2)="Fr","Fr",MID(_不良集計ゾーン別ADO[[#This Row],[品番]],3,2)="Rr","Rr",TRUE,"")</f>
        <v>Fr</v>
      </c>
      <c r="O126" s="1" t="str">
        <f>IF(ISBLANK(_不良集計ゾーン別ADO[[#This Row],[品番]]),"",RIGHT(_不良集計ゾーン別ADO[[#This Row],[品番]],2))</f>
        <v>RH</v>
      </c>
      <c r="P126" s="1" t="str">
        <f>_xlfn.IFS(LEFT(_不良集計ゾーン別ADO[[#This Row],[品番]],2)="アル","アルヴェル",LEFT(_不良集計ゾーン別ADO[[#This Row],[品番]],2)="ノア","ノアヴォク",TRUE,"")</f>
        <v>ノアヴォク</v>
      </c>
      <c r="U126" s="1"/>
    </row>
    <row r="127" spans="1:21" x14ac:dyDescent="0.45">
      <c r="A127">
        <v>123</v>
      </c>
      <c r="B127" s="16">
        <v>46036</v>
      </c>
      <c r="C127" s="1" t="s">
        <v>43</v>
      </c>
      <c r="D127" s="1" t="s">
        <v>45</v>
      </c>
      <c r="E127" s="1" t="s">
        <v>55</v>
      </c>
      <c r="F127" s="1" t="s">
        <v>0</v>
      </c>
      <c r="G127" s="1" t="s">
        <v>80</v>
      </c>
      <c r="H127" s="1">
        <v>2</v>
      </c>
      <c r="I127">
        <v>0</v>
      </c>
      <c r="J127" s="1" t="str" cm="1">
        <f t="array" ref="J127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マット</v>
      </c>
      <c r="K127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マット</v>
      </c>
      <c r="L127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塗装</v>
      </c>
      <c r="M127" s="1" t="str" cm="1">
        <f t="array" ref="M127">_xlfn.XLOOKUP(TEXT(_不良集計ゾーン別ADO[[#This Row],[番号]],"@"),TEXT(_番号ADO[番号],"@"),_番号ADO[発生],"",0,1)</f>
        <v>塗装</v>
      </c>
      <c r="N127" s="1" t="str">
        <f>_xlfn.IFS(MID(_不良集計ゾーン別ADO[[#This Row],[品番]],3,2)="Fr","Fr",MID(_不良集計ゾーン別ADO[[#This Row],[品番]],3,2)="Rr","Rr",TRUE,"")</f>
        <v>Rr</v>
      </c>
      <c r="O127" s="1" t="str">
        <f>IF(ISBLANK(_不良集計ゾーン別ADO[[#This Row],[品番]]),"",RIGHT(_不良集計ゾーン別ADO[[#This Row],[品番]],2))</f>
        <v>RH</v>
      </c>
      <c r="P127" s="1" t="str">
        <f>_xlfn.IFS(LEFT(_不良集計ゾーン別ADO[[#This Row],[品番]],2)="アル","アルヴェル",LEFT(_不良集計ゾーン別ADO[[#This Row],[品番]],2)="ノア","ノアヴォク",TRUE,"")</f>
        <v>ノアヴォク</v>
      </c>
      <c r="U127" s="1"/>
    </row>
    <row r="128" spans="1:21" x14ac:dyDescent="0.45">
      <c r="A128">
        <v>124</v>
      </c>
      <c r="B128" s="16">
        <v>46036</v>
      </c>
      <c r="C128" s="1" t="s">
        <v>44</v>
      </c>
      <c r="D128" s="1" t="s">
        <v>201</v>
      </c>
      <c r="E128" s="1" t="s">
        <v>55</v>
      </c>
      <c r="F128" s="1" t="s">
        <v>0</v>
      </c>
      <c r="G128" s="1" t="s">
        <v>62</v>
      </c>
      <c r="H128" s="1">
        <v>1</v>
      </c>
      <c r="I128">
        <v>0</v>
      </c>
      <c r="J128" s="1" t="str" cm="1">
        <f t="array" ref="J128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塗装異物</v>
      </c>
      <c r="K128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塗装異物</v>
      </c>
      <c r="L128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塗装</v>
      </c>
      <c r="M128" s="1" t="str" cm="1">
        <f t="array" ref="M128">_xlfn.XLOOKUP(TEXT(_不良集計ゾーン別ADO[[#This Row],[番号]],"@"),TEXT(_番号ADO[番号],"@"),_番号ADO[発生],"",0,1)</f>
        <v>塗装</v>
      </c>
      <c r="N128" s="1" t="str">
        <f>_xlfn.IFS(MID(_不良集計ゾーン別ADO[[#This Row],[品番]],3,2)="Fr","Fr",MID(_不良集計ゾーン別ADO[[#This Row],[品番]],3,2)="Rr","Rr",TRUE,"")</f>
        <v>Fr</v>
      </c>
      <c r="O128" s="1" t="str">
        <f>IF(ISBLANK(_不良集計ゾーン別ADO[[#This Row],[品番]]),"",RIGHT(_不良集計ゾーン別ADO[[#This Row],[品番]],2))</f>
        <v>LH</v>
      </c>
      <c r="P128" s="1" t="str">
        <f>_xlfn.IFS(LEFT(_不良集計ゾーン別ADO[[#This Row],[品番]],2)="アル","アルヴェル",LEFT(_不良集計ゾーン別ADO[[#This Row],[品番]],2)="ノア","ノアヴォク",TRUE,"")</f>
        <v>アルヴェル</v>
      </c>
      <c r="U128" s="1"/>
    </row>
    <row r="129" spans="1:21" x14ac:dyDescent="0.45">
      <c r="A129">
        <v>125</v>
      </c>
      <c r="B129" s="16">
        <v>46034</v>
      </c>
      <c r="C129" s="1" t="s">
        <v>35</v>
      </c>
      <c r="D129" s="1" t="s">
        <v>88</v>
      </c>
      <c r="E129" s="1" t="s">
        <v>36</v>
      </c>
      <c r="F129" s="1" t="s">
        <v>2</v>
      </c>
      <c r="G129" s="1" t="s">
        <v>81</v>
      </c>
      <c r="H129" s="1">
        <v>1</v>
      </c>
      <c r="I129">
        <v>0</v>
      </c>
      <c r="J129" s="1" t="str" cm="1">
        <f t="array" ref="J129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バリ･毛バリ</v>
      </c>
      <c r="K129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バリ･毛バリ</v>
      </c>
      <c r="L129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129" s="1" t="str" cm="1">
        <f t="array" ref="M129">_xlfn.XLOOKUP(TEXT(_不良集計ゾーン別ADO[[#This Row],[番号]],"@"),TEXT(_番号ADO[番号],"@"),_番号ADO[発生],"",0,1)</f>
        <v>成形</v>
      </c>
      <c r="N129" s="1" t="str">
        <f>_xlfn.IFS(MID(_不良集計ゾーン別ADO[[#This Row],[品番]],3,2)="Fr","Fr",MID(_不良集計ゾーン別ADO[[#This Row],[品番]],3,2)="Rr","Rr",TRUE,"")</f>
        <v>Fr</v>
      </c>
      <c r="O129" s="1" t="str">
        <f>IF(ISBLANK(_不良集計ゾーン別ADO[[#This Row],[品番]]),"",RIGHT(_不良集計ゾーン別ADO[[#This Row],[品番]],2))</f>
        <v>LH</v>
      </c>
      <c r="P129" s="1" t="str">
        <f>_xlfn.IFS(LEFT(_不良集計ゾーン別ADO[[#This Row],[品番]],2)="アル","アルヴェル",LEFT(_不良集計ゾーン別ADO[[#This Row],[品番]],2)="ノア","ノアヴォク",TRUE,"")</f>
        <v>ノアヴォク</v>
      </c>
      <c r="U129" s="1"/>
    </row>
    <row r="130" spans="1:21" x14ac:dyDescent="0.45">
      <c r="A130">
        <v>126</v>
      </c>
      <c r="B130" s="16">
        <v>46034</v>
      </c>
      <c r="C130" s="1" t="s">
        <v>35</v>
      </c>
      <c r="D130" s="1" t="s">
        <v>88</v>
      </c>
      <c r="E130" s="1" t="s">
        <v>36</v>
      </c>
      <c r="F130" s="1" t="s">
        <v>1</v>
      </c>
      <c r="G130" s="1" t="s">
        <v>38</v>
      </c>
      <c r="H130" s="1">
        <v>1</v>
      </c>
      <c r="I130">
        <v>1</v>
      </c>
      <c r="J130" s="1" t="str" cm="1">
        <f t="array" ref="J130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塗装はげ</v>
      </c>
      <c r="K130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塗装はげ</v>
      </c>
      <c r="L130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130" s="1" t="str" cm="1">
        <f t="array" ref="M130">_xlfn.XLOOKUP(TEXT(_不良集計ゾーン別ADO[[#This Row],[番号]],"@"),TEXT(_番号ADO[番号],"@"),_番号ADO[発生],"",0,1)</f>
        <v>塗装</v>
      </c>
      <c r="N130" s="1" t="str">
        <f>_xlfn.IFS(MID(_不良集計ゾーン別ADO[[#This Row],[品番]],3,2)="Fr","Fr",MID(_不良集計ゾーン別ADO[[#This Row],[品番]],3,2)="Rr","Rr",TRUE,"")</f>
        <v>Fr</v>
      </c>
      <c r="O130" s="1" t="str">
        <f>IF(ISBLANK(_不良集計ゾーン別ADO[[#This Row],[品番]]),"",RIGHT(_不良集計ゾーン別ADO[[#This Row],[品番]],2))</f>
        <v>LH</v>
      </c>
      <c r="P130" s="1" t="str">
        <f>_xlfn.IFS(LEFT(_不良集計ゾーン別ADO[[#This Row],[品番]],2)="アル","アルヴェル",LEFT(_不良集計ゾーン別ADO[[#This Row],[品番]],2)="ノア","ノアヴォク",TRUE,"")</f>
        <v>ノアヴォク</v>
      </c>
      <c r="U130" s="1"/>
    </row>
    <row r="131" spans="1:21" x14ac:dyDescent="0.45">
      <c r="A131">
        <v>127</v>
      </c>
      <c r="B131" s="16">
        <v>46034</v>
      </c>
      <c r="C131" s="1" t="s">
        <v>35</v>
      </c>
      <c r="D131" s="1" t="s">
        <v>88</v>
      </c>
      <c r="E131" s="1" t="s">
        <v>36</v>
      </c>
      <c r="F131" s="1" t="s">
        <v>0</v>
      </c>
      <c r="G131" s="1" t="s">
        <v>84</v>
      </c>
      <c r="H131" s="1">
        <v>1</v>
      </c>
      <c r="I131">
        <v>0</v>
      </c>
      <c r="J131" s="1" t="str" cm="1">
        <f t="array" ref="J131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プライマー</v>
      </c>
      <c r="K131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プライマー</v>
      </c>
      <c r="L131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131" s="1" t="str" cm="1">
        <f t="array" ref="M131">_xlfn.XLOOKUP(TEXT(_不良集計ゾーン別ADO[[#This Row],[番号]],"@"),TEXT(_番号ADO[番号],"@"),_番号ADO[発生],"",0,1)</f>
        <v>加工</v>
      </c>
      <c r="N131" s="1" t="str">
        <f>_xlfn.IFS(MID(_不良集計ゾーン別ADO[[#This Row],[品番]],3,2)="Fr","Fr",MID(_不良集計ゾーン別ADO[[#This Row],[品番]],3,2)="Rr","Rr",TRUE,"")</f>
        <v>Fr</v>
      </c>
      <c r="O131" s="1" t="str">
        <f>IF(ISBLANK(_不良集計ゾーン別ADO[[#This Row],[品番]]),"",RIGHT(_不良集計ゾーン別ADO[[#This Row],[品番]],2))</f>
        <v>LH</v>
      </c>
      <c r="P131" s="1" t="str">
        <f>_xlfn.IFS(LEFT(_不良集計ゾーン別ADO[[#This Row],[品番]],2)="アル","アルヴェル",LEFT(_不良集計ゾーン別ADO[[#This Row],[品番]],2)="ノア","ノアヴォク",TRUE,"")</f>
        <v>ノアヴォク</v>
      </c>
      <c r="U131" s="1"/>
    </row>
    <row r="132" spans="1:21" x14ac:dyDescent="0.45">
      <c r="A132">
        <v>128</v>
      </c>
      <c r="B132" s="16">
        <v>46034</v>
      </c>
      <c r="C132" s="1" t="s">
        <v>35</v>
      </c>
      <c r="D132" s="1" t="s">
        <v>88</v>
      </c>
      <c r="E132" s="1" t="s">
        <v>36</v>
      </c>
      <c r="F132" s="1" t="s">
        <v>0</v>
      </c>
      <c r="G132" s="1" t="s">
        <v>78</v>
      </c>
      <c r="H132" s="1">
        <v>1</v>
      </c>
      <c r="I132">
        <v>0</v>
      </c>
      <c r="J132" s="1" t="str" cm="1">
        <f t="array" ref="J132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ガス</v>
      </c>
      <c r="K132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ガス</v>
      </c>
      <c r="L132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132" s="1" t="str" cm="1">
        <f t="array" ref="M132">_xlfn.XLOOKUP(TEXT(_不良集計ゾーン別ADO[[#This Row],[番号]],"@"),TEXT(_番号ADO[番号],"@"),_番号ADO[発生],"",0,1)</f>
        <v>成形</v>
      </c>
      <c r="N132" s="1" t="str">
        <f>_xlfn.IFS(MID(_不良集計ゾーン別ADO[[#This Row],[品番]],3,2)="Fr","Fr",MID(_不良集計ゾーン別ADO[[#This Row],[品番]],3,2)="Rr","Rr",TRUE,"")</f>
        <v>Fr</v>
      </c>
      <c r="O132" s="1" t="str">
        <f>IF(ISBLANK(_不良集計ゾーン別ADO[[#This Row],[品番]]),"",RIGHT(_不良集計ゾーン別ADO[[#This Row],[品番]],2))</f>
        <v>LH</v>
      </c>
      <c r="P132" s="1" t="str">
        <f>_xlfn.IFS(LEFT(_不良集計ゾーン別ADO[[#This Row],[品番]],2)="アル","アルヴェル",LEFT(_不良集計ゾーン別ADO[[#This Row],[品番]],2)="ノア","ノアヴォク",TRUE,"")</f>
        <v>ノアヴォク</v>
      </c>
      <c r="U132" s="1"/>
    </row>
    <row r="133" spans="1:21" x14ac:dyDescent="0.45">
      <c r="A133">
        <v>129</v>
      </c>
      <c r="B133" s="16">
        <v>46034</v>
      </c>
      <c r="C133" s="1" t="s">
        <v>42</v>
      </c>
      <c r="D133" s="1" t="s">
        <v>88</v>
      </c>
      <c r="E133" s="1" t="s">
        <v>36</v>
      </c>
      <c r="F133" s="1" t="s">
        <v>2</v>
      </c>
      <c r="G133" s="1" t="s">
        <v>81</v>
      </c>
      <c r="H133" s="1">
        <v>1</v>
      </c>
      <c r="I133">
        <v>0</v>
      </c>
      <c r="J133" s="1" t="str" cm="1">
        <f t="array" ref="J133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バリ･毛バリ</v>
      </c>
      <c r="K133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バリ･毛バリ</v>
      </c>
      <c r="L133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133" s="1" t="str" cm="1">
        <f t="array" ref="M133">_xlfn.XLOOKUP(TEXT(_不良集計ゾーン別ADO[[#This Row],[番号]],"@"),TEXT(_番号ADO[番号],"@"),_番号ADO[発生],"",0,1)</f>
        <v>成形</v>
      </c>
      <c r="N133" s="1" t="str">
        <f>_xlfn.IFS(MID(_不良集計ゾーン別ADO[[#This Row],[品番]],3,2)="Fr","Fr",MID(_不良集計ゾーン別ADO[[#This Row],[品番]],3,2)="Rr","Rr",TRUE,"")</f>
        <v>Rr</v>
      </c>
      <c r="O133" s="1" t="str">
        <f>IF(ISBLANK(_不良集計ゾーン別ADO[[#This Row],[品番]]),"",RIGHT(_不良集計ゾーン別ADO[[#This Row],[品番]],2))</f>
        <v>LH</v>
      </c>
      <c r="P133" s="1" t="str">
        <f>_xlfn.IFS(LEFT(_不良集計ゾーン別ADO[[#This Row],[品番]],2)="アル","アルヴェル",LEFT(_不良集計ゾーン別ADO[[#This Row],[品番]],2)="ノア","ノアヴォク",TRUE,"")</f>
        <v>ノアヴォク</v>
      </c>
      <c r="U133" s="1"/>
    </row>
    <row r="134" spans="1:21" x14ac:dyDescent="0.45">
      <c r="A134">
        <v>130</v>
      </c>
      <c r="B134" s="16">
        <v>46034</v>
      </c>
      <c r="C134" s="1" t="s">
        <v>42</v>
      </c>
      <c r="D134" s="1" t="s">
        <v>88</v>
      </c>
      <c r="E134" s="1" t="s">
        <v>36</v>
      </c>
      <c r="F134" s="1" t="s">
        <v>2</v>
      </c>
      <c r="G134" s="1" t="s">
        <v>52</v>
      </c>
      <c r="H134" s="1">
        <v>1</v>
      </c>
      <c r="I134">
        <v>0</v>
      </c>
      <c r="J134" s="1" t="str" cm="1">
        <f t="array" ref="J134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134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134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134" s="1" t="str" cm="1">
        <f t="array" ref="M134">_xlfn.XLOOKUP(TEXT(_不良集計ゾーン別ADO[[#This Row],[番号]],"@"),TEXT(_番号ADO[番号],"@"),_番号ADO[発生],"",0,1)</f>
        <v>成形</v>
      </c>
      <c r="N134" s="1" t="str">
        <f>_xlfn.IFS(MID(_不良集計ゾーン別ADO[[#This Row],[品番]],3,2)="Fr","Fr",MID(_不良集計ゾーン別ADO[[#This Row],[品番]],3,2)="Rr","Rr",TRUE,"")</f>
        <v>Rr</v>
      </c>
      <c r="O134" s="1" t="str">
        <f>IF(ISBLANK(_不良集計ゾーン別ADO[[#This Row],[品番]]),"",RIGHT(_不良集計ゾーン別ADO[[#This Row],[品番]],2))</f>
        <v>LH</v>
      </c>
      <c r="P134" s="1" t="str">
        <f>_xlfn.IFS(LEFT(_不良集計ゾーン別ADO[[#This Row],[品番]],2)="アル","アルヴェル",LEFT(_不良集計ゾーン別ADO[[#This Row],[品番]],2)="ノア","ノアヴォク",TRUE,"")</f>
        <v>ノアヴォク</v>
      </c>
      <c r="U134" s="1"/>
    </row>
    <row r="135" spans="1:21" x14ac:dyDescent="0.45">
      <c r="A135">
        <v>131</v>
      </c>
      <c r="B135" s="16">
        <v>46034</v>
      </c>
      <c r="C135" s="1" t="s">
        <v>42</v>
      </c>
      <c r="D135" s="1" t="s">
        <v>88</v>
      </c>
      <c r="E135" s="1" t="s">
        <v>36</v>
      </c>
      <c r="F135" s="1" t="s">
        <v>0</v>
      </c>
      <c r="G135" s="1" t="s">
        <v>39</v>
      </c>
      <c r="H135" s="1">
        <v>1</v>
      </c>
      <c r="I135">
        <v>1</v>
      </c>
      <c r="J135" s="1" t="str" cm="1">
        <f t="array" ref="J135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ピンホール</v>
      </c>
      <c r="K135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ピンホール</v>
      </c>
      <c r="L135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135" s="1" t="str" cm="1">
        <f t="array" ref="M135">_xlfn.XLOOKUP(TEXT(_不良集計ゾーン別ADO[[#This Row],[番号]],"@"),TEXT(_番号ADO[番号],"@"),_番号ADO[発生],"",0,1)</f>
        <v>塗装</v>
      </c>
      <c r="N135" s="1" t="str">
        <f>_xlfn.IFS(MID(_不良集計ゾーン別ADO[[#This Row],[品番]],3,2)="Fr","Fr",MID(_不良集計ゾーン別ADO[[#This Row],[品番]],3,2)="Rr","Rr",TRUE,"")</f>
        <v>Rr</v>
      </c>
      <c r="O135" s="1" t="str">
        <f>IF(ISBLANK(_不良集計ゾーン別ADO[[#This Row],[品番]]),"",RIGHT(_不良集計ゾーン別ADO[[#This Row],[品番]],2))</f>
        <v>LH</v>
      </c>
      <c r="P135" s="1" t="str">
        <f>_xlfn.IFS(LEFT(_不良集計ゾーン別ADO[[#This Row],[品番]],2)="アル","アルヴェル",LEFT(_不良集計ゾーン別ADO[[#This Row],[品番]],2)="ノア","ノアヴォク",TRUE,"")</f>
        <v>ノアヴォク</v>
      </c>
      <c r="U135" s="1"/>
    </row>
    <row r="136" spans="1:21" x14ac:dyDescent="0.45">
      <c r="A136">
        <v>132</v>
      </c>
      <c r="B136" s="16">
        <v>46034</v>
      </c>
      <c r="C136" s="1" t="s">
        <v>42</v>
      </c>
      <c r="D136" s="1" t="s">
        <v>88</v>
      </c>
      <c r="E136" s="1" t="s">
        <v>36</v>
      </c>
      <c r="F136" s="1" t="s">
        <v>0</v>
      </c>
      <c r="G136" s="1" t="s">
        <v>52</v>
      </c>
      <c r="H136" s="1">
        <v>1</v>
      </c>
      <c r="I136">
        <v>0</v>
      </c>
      <c r="J136" s="1" t="str" cm="1">
        <f t="array" ref="J136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136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136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136" s="1" t="str" cm="1">
        <f t="array" ref="M136">_xlfn.XLOOKUP(TEXT(_不良集計ゾーン別ADO[[#This Row],[番号]],"@"),TEXT(_番号ADO[番号],"@"),_番号ADO[発生],"",0,1)</f>
        <v>成形</v>
      </c>
      <c r="N136" s="1" t="str">
        <f>_xlfn.IFS(MID(_不良集計ゾーン別ADO[[#This Row],[品番]],3,2)="Fr","Fr",MID(_不良集計ゾーン別ADO[[#This Row],[品番]],3,2)="Rr","Rr",TRUE,"")</f>
        <v>Rr</v>
      </c>
      <c r="O136" s="1" t="str">
        <f>IF(ISBLANK(_不良集計ゾーン別ADO[[#This Row],[品番]]),"",RIGHT(_不良集計ゾーン別ADO[[#This Row],[品番]],2))</f>
        <v>LH</v>
      </c>
      <c r="P136" s="1" t="str">
        <f>_xlfn.IFS(LEFT(_不良集計ゾーン別ADO[[#This Row],[品番]],2)="アル","アルヴェル",LEFT(_不良集計ゾーン別ADO[[#This Row],[品番]],2)="ノア","ノアヴォク",TRUE,"")</f>
        <v>ノアヴォク</v>
      </c>
      <c r="U136" s="1"/>
    </row>
    <row r="137" spans="1:21" x14ac:dyDescent="0.45">
      <c r="A137">
        <v>133</v>
      </c>
      <c r="B137" s="16">
        <v>46034</v>
      </c>
      <c r="C137" s="1" t="s">
        <v>43</v>
      </c>
      <c r="D137" s="1" t="s">
        <v>88</v>
      </c>
      <c r="E137" s="1" t="s">
        <v>36</v>
      </c>
      <c r="F137" s="1" t="s">
        <v>1</v>
      </c>
      <c r="G137" s="1" t="s">
        <v>52</v>
      </c>
      <c r="H137" s="1">
        <v>1</v>
      </c>
      <c r="I137">
        <v>0</v>
      </c>
      <c r="J137" s="1" t="str" cm="1">
        <f t="array" ref="J137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137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137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137" s="1" t="str" cm="1">
        <f t="array" ref="M137">_xlfn.XLOOKUP(TEXT(_不良集計ゾーン別ADO[[#This Row],[番号]],"@"),TEXT(_番号ADO[番号],"@"),_番号ADO[発生],"",0,1)</f>
        <v>成形</v>
      </c>
      <c r="N137" s="1" t="str">
        <f>_xlfn.IFS(MID(_不良集計ゾーン別ADO[[#This Row],[品番]],3,2)="Fr","Fr",MID(_不良集計ゾーン別ADO[[#This Row],[品番]],3,2)="Rr","Rr",TRUE,"")</f>
        <v>Rr</v>
      </c>
      <c r="O137" s="1" t="str">
        <f>IF(ISBLANK(_不良集計ゾーン別ADO[[#This Row],[品番]]),"",RIGHT(_不良集計ゾーン別ADO[[#This Row],[品番]],2))</f>
        <v>RH</v>
      </c>
      <c r="P137" s="1" t="str">
        <f>_xlfn.IFS(LEFT(_不良集計ゾーン別ADO[[#This Row],[品番]],2)="アル","アルヴェル",LEFT(_不良集計ゾーン別ADO[[#This Row],[品番]],2)="ノア","ノアヴォク",TRUE,"")</f>
        <v>ノアヴォク</v>
      </c>
      <c r="U137" s="1"/>
    </row>
    <row r="138" spans="1:21" x14ac:dyDescent="0.45">
      <c r="A138">
        <v>134</v>
      </c>
      <c r="B138" s="16">
        <v>46034</v>
      </c>
      <c r="C138" s="1" t="s">
        <v>44</v>
      </c>
      <c r="D138" s="1" t="s">
        <v>192</v>
      </c>
      <c r="E138" s="1" t="s">
        <v>50</v>
      </c>
      <c r="F138" s="1" t="s">
        <v>4</v>
      </c>
      <c r="G138" s="1" t="s">
        <v>40</v>
      </c>
      <c r="H138" s="1">
        <v>1</v>
      </c>
      <c r="I138">
        <v>0</v>
      </c>
      <c r="J138" s="1" t="str" cm="1">
        <f t="array" ref="J138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塗料付着</v>
      </c>
      <c r="K138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塗料付着</v>
      </c>
      <c r="L138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モール</v>
      </c>
      <c r="M138" s="1" t="str" cm="1">
        <f t="array" ref="M138">_xlfn.XLOOKUP(TEXT(_不良集計ゾーン別ADO[[#This Row],[番号]],"@"),TEXT(_番号ADO[番号],"@"),_番号ADO[発生],"",0,1)</f>
        <v>塗装</v>
      </c>
      <c r="N138" s="1" t="str">
        <f>_xlfn.IFS(MID(_不良集計ゾーン別ADO[[#This Row],[品番]],3,2)="Fr","Fr",MID(_不良集計ゾーン別ADO[[#This Row],[品番]],3,2)="Rr","Rr",TRUE,"")</f>
        <v>Fr</v>
      </c>
      <c r="O138" s="1" t="str">
        <f>IF(ISBLANK(_不良集計ゾーン別ADO[[#This Row],[品番]]),"",RIGHT(_不良集計ゾーン別ADO[[#This Row],[品番]],2))</f>
        <v>LH</v>
      </c>
      <c r="P138" s="1" t="str">
        <f>_xlfn.IFS(LEFT(_不良集計ゾーン別ADO[[#This Row],[品番]],2)="アル","アルヴェル",LEFT(_不良集計ゾーン別ADO[[#This Row],[品番]],2)="ノア","ノアヴォク",TRUE,"")</f>
        <v>アルヴェル</v>
      </c>
      <c r="U138" s="1"/>
    </row>
    <row r="139" spans="1:21" x14ac:dyDescent="0.45">
      <c r="A139">
        <v>135</v>
      </c>
      <c r="B139" s="16">
        <v>46034</v>
      </c>
      <c r="C139" s="1" t="s">
        <v>44</v>
      </c>
      <c r="D139" s="1" t="s">
        <v>192</v>
      </c>
      <c r="E139" s="1" t="s">
        <v>50</v>
      </c>
      <c r="F139" s="1" t="s">
        <v>3</v>
      </c>
      <c r="G139" s="1" t="s">
        <v>52</v>
      </c>
      <c r="H139" s="1">
        <v>1</v>
      </c>
      <c r="I139">
        <v>0</v>
      </c>
      <c r="J139" s="1" t="str" cm="1">
        <f t="array" ref="J139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139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139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モール</v>
      </c>
      <c r="M139" s="1" t="str" cm="1">
        <f t="array" ref="M139">_xlfn.XLOOKUP(TEXT(_不良集計ゾーン別ADO[[#This Row],[番号]],"@"),TEXT(_番号ADO[番号],"@"),_番号ADO[発生],"",0,1)</f>
        <v>成形</v>
      </c>
      <c r="N139" s="1" t="str">
        <f>_xlfn.IFS(MID(_不良集計ゾーン別ADO[[#This Row],[品番]],3,2)="Fr","Fr",MID(_不良集計ゾーン別ADO[[#This Row],[品番]],3,2)="Rr","Rr",TRUE,"")</f>
        <v>Fr</v>
      </c>
      <c r="O139" s="1" t="str">
        <f>IF(ISBLANK(_不良集計ゾーン別ADO[[#This Row],[品番]]),"",RIGHT(_不良集計ゾーン別ADO[[#This Row],[品番]],2))</f>
        <v>LH</v>
      </c>
      <c r="P139" s="1" t="str">
        <f>_xlfn.IFS(LEFT(_不良集計ゾーン別ADO[[#This Row],[品番]],2)="アル","アルヴェル",LEFT(_不良集計ゾーン別ADO[[#This Row],[品番]],2)="ノア","ノアヴォク",TRUE,"")</f>
        <v>アルヴェル</v>
      </c>
      <c r="U139" s="1"/>
    </row>
    <row r="140" spans="1:21" x14ac:dyDescent="0.45">
      <c r="A140">
        <v>136</v>
      </c>
      <c r="B140" s="16">
        <v>46034</v>
      </c>
      <c r="C140" s="1" t="s">
        <v>44</v>
      </c>
      <c r="D140" s="1" t="s">
        <v>192</v>
      </c>
      <c r="E140" s="1" t="s">
        <v>50</v>
      </c>
      <c r="F140" s="1" t="s">
        <v>2</v>
      </c>
      <c r="G140" s="1" t="s">
        <v>61</v>
      </c>
      <c r="H140" s="1">
        <v>1</v>
      </c>
      <c r="I140">
        <v>0</v>
      </c>
      <c r="J140" s="1" t="str" cm="1">
        <f t="array" ref="J140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塗装ひげ</v>
      </c>
      <c r="K140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塗装ひげ</v>
      </c>
      <c r="L140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モール</v>
      </c>
      <c r="M140" s="1" t="str" cm="1">
        <f t="array" ref="M140">_xlfn.XLOOKUP(TEXT(_不良集計ゾーン別ADO[[#This Row],[番号]],"@"),TEXT(_番号ADO[番号],"@"),_番号ADO[発生],"",0,1)</f>
        <v>塗装</v>
      </c>
      <c r="N140" s="1" t="str">
        <f>_xlfn.IFS(MID(_不良集計ゾーン別ADO[[#This Row],[品番]],3,2)="Fr","Fr",MID(_不良集計ゾーン別ADO[[#This Row],[品番]],3,2)="Rr","Rr",TRUE,"")</f>
        <v>Fr</v>
      </c>
      <c r="O140" s="1" t="str">
        <f>IF(ISBLANK(_不良集計ゾーン別ADO[[#This Row],[品番]]),"",RIGHT(_不良集計ゾーン別ADO[[#This Row],[品番]],2))</f>
        <v>LH</v>
      </c>
      <c r="P140" s="1" t="str">
        <f>_xlfn.IFS(LEFT(_不良集計ゾーン別ADO[[#This Row],[品番]],2)="アル","アルヴェル",LEFT(_不良集計ゾーン別ADO[[#This Row],[品番]],2)="ノア","ノアヴォク",TRUE,"")</f>
        <v>アルヴェル</v>
      </c>
      <c r="U140" s="1"/>
    </row>
    <row r="141" spans="1:21" x14ac:dyDescent="0.45">
      <c r="A141">
        <v>137</v>
      </c>
      <c r="B141" s="16">
        <v>46034</v>
      </c>
      <c r="C141" s="1" t="s">
        <v>44</v>
      </c>
      <c r="D141" s="1" t="s">
        <v>192</v>
      </c>
      <c r="E141" s="1" t="s">
        <v>50</v>
      </c>
      <c r="F141" s="1" t="s">
        <v>0</v>
      </c>
      <c r="G141" s="1" t="s">
        <v>52</v>
      </c>
      <c r="H141" s="1">
        <v>1</v>
      </c>
      <c r="I141">
        <v>0</v>
      </c>
      <c r="J141" s="1" t="str" cm="1">
        <f t="array" ref="J141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141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141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モール</v>
      </c>
      <c r="M141" s="1" t="str" cm="1">
        <f t="array" ref="M141">_xlfn.XLOOKUP(TEXT(_不良集計ゾーン別ADO[[#This Row],[番号]],"@"),TEXT(_番号ADO[番号],"@"),_番号ADO[発生],"",0,1)</f>
        <v>成形</v>
      </c>
      <c r="N141" s="1" t="str">
        <f>_xlfn.IFS(MID(_不良集計ゾーン別ADO[[#This Row],[品番]],3,2)="Fr","Fr",MID(_不良集計ゾーン別ADO[[#This Row],[品番]],3,2)="Rr","Rr",TRUE,"")</f>
        <v>Fr</v>
      </c>
      <c r="O141" s="1" t="str">
        <f>IF(ISBLANK(_不良集計ゾーン別ADO[[#This Row],[品番]]),"",RIGHT(_不良集計ゾーン別ADO[[#This Row],[品番]],2))</f>
        <v>LH</v>
      </c>
      <c r="P141" s="1" t="str">
        <f>_xlfn.IFS(LEFT(_不良集計ゾーン別ADO[[#This Row],[品番]],2)="アル","アルヴェル",LEFT(_不良集計ゾーン別ADO[[#This Row],[品番]],2)="ノア","ノアヴォク",TRUE,"")</f>
        <v>アルヴェル</v>
      </c>
      <c r="U141" s="1"/>
    </row>
    <row r="142" spans="1:21" x14ac:dyDescent="0.45">
      <c r="A142">
        <v>138</v>
      </c>
      <c r="B142" s="16">
        <v>46034</v>
      </c>
      <c r="C142" s="1" t="s">
        <v>54</v>
      </c>
      <c r="D142" s="1" t="s">
        <v>192</v>
      </c>
      <c r="E142" s="1" t="s">
        <v>50</v>
      </c>
      <c r="F142" s="1" t="s">
        <v>0</v>
      </c>
      <c r="G142" s="1" t="s">
        <v>40</v>
      </c>
      <c r="H142" s="1">
        <v>1</v>
      </c>
      <c r="I142">
        <v>0</v>
      </c>
      <c r="J142" s="1" t="str" cm="1">
        <f t="array" ref="J142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塗料付着</v>
      </c>
      <c r="K142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塗料付着</v>
      </c>
      <c r="L142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モール</v>
      </c>
      <c r="M142" s="1" t="str" cm="1">
        <f t="array" ref="M142">_xlfn.XLOOKUP(TEXT(_不良集計ゾーン別ADO[[#This Row],[番号]],"@"),TEXT(_番号ADO[番号],"@"),_番号ADO[発生],"",0,1)</f>
        <v>塗装</v>
      </c>
      <c r="N142" s="1" t="str">
        <f>_xlfn.IFS(MID(_不良集計ゾーン別ADO[[#This Row],[品番]],3,2)="Fr","Fr",MID(_不良集計ゾーン別ADO[[#This Row],[品番]],3,2)="Rr","Rr",TRUE,"")</f>
        <v>Fr</v>
      </c>
      <c r="O142" s="1" t="str">
        <f>IF(ISBLANK(_不良集計ゾーン別ADO[[#This Row],[品番]]),"",RIGHT(_不良集計ゾーン別ADO[[#This Row],[品番]],2))</f>
        <v>RH</v>
      </c>
      <c r="P142" s="1" t="str">
        <f>_xlfn.IFS(LEFT(_不良集計ゾーン別ADO[[#This Row],[品番]],2)="アル","アルヴェル",LEFT(_不良集計ゾーン別ADO[[#This Row],[品番]],2)="ノア","ノアヴォク",TRUE,"")</f>
        <v>アルヴェル</v>
      </c>
      <c r="U142" s="1"/>
    </row>
    <row r="143" spans="1:21" x14ac:dyDescent="0.45">
      <c r="A143">
        <v>139</v>
      </c>
      <c r="B143" s="16">
        <v>46034</v>
      </c>
      <c r="C143" s="1" t="s">
        <v>46</v>
      </c>
      <c r="D143" s="1" t="s">
        <v>192</v>
      </c>
      <c r="E143" s="1" t="s">
        <v>50</v>
      </c>
      <c r="F143" s="1" t="s">
        <v>2</v>
      </c>
      <c r="G143" s="1" t="s">
        <v>39</v>
      </c>
      <c r="H143" s="1">
        <v>1</v>
      </c>
      <c r="I143">
        <v>1</v>
      </c>
      <c r="J143" s="1" t="str" cm="1">
        <f t="array" ref="J143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ピンホール</v>
      </c>
      <c r="K143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ピンホール</v>
      </c>
      <c r="L143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モール</v>
      </c>
      <c r="M143" s="1" t="str" cm="1">
        <f t="array" ref="M143">_xlfn.XLOOKUP(TEXT(_不良集計ゾーン別ADO[[#This Row],[番号]],"@"),TEXT(_番号ADO[番号],"@"),_番号ADO[発生],"",0,1)</f>
        <v>塗装</v>
      </c>
      <c r="N143" s="1" t="str">
        <f>_xlfn.IFS(MID(_不良集計ゾーン別ADO[[#This Row],[品番]],3,2)="Fr","Fr",MID(_不良集計ゾーン別ADO[[#This Row],[品番]],3,2)="Rr","Rr",TRUE,"")</f>
        <v>Rr</v>
      </c>
      <c r="O143" s="1" t="str">
        <f>IF(ISBLANK(_不良集計ゾーン別ADO[[#This Row],[品番]]),"",RIGHT(_不良集計ゾーン別ADO[[#This Row],[品番]],2))</f>
        <v>LH</v>
      </c>
      <c r="P143" s="1" t="str">
        <f>_xlfn.IFS(LEFT(_不良集計ゾーン別ADO[[#This Row],[品番]],2)="アル","アルヴェル",LEFT(_不良集計ゾーン別ADO[[#This Row],[品番]],2)="ノア","ノアヴォク",TRUE,"")</f>
        <v>アルヴェル</v>
      </c>
      <c r="U143" s="1"/>
    </row>
    <row r="144" spans="1:21" x14ac:dyDescent="0.45">
      <c r="A144">
        <v>140</v>
      </c>
      <c r="B144" s="16">
        <v>46034</v>
      </c>
      <c r="C144" s="1" t="s">
        <v>35</v>
      </c>
      <c r="D144" s="1" t="s">
        <v>95</v>
      </c>
      <c r="E144" s="1" t="s">
        <v>36</v>
      </c>
      <c r="F144" s="1" t="s">
        <v>1</v>
      </c>
      <c r="G144" s="1" t="s">
        <v>52</v>
      </c>
      <c r="H144" s="1">
        <v>1</v>
      </c>
      <c r="I144">
        <v>0</v>
      </c>
      <c r="J144" s="1" t="str" cm="1">
        <f t="array" ref="J144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144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144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144" s="1" t="str" cm="1">
        <f t="array" ref="M144">_xlfn.XLOOKUP(TEXT(_不良集計ゾーン別ADO[[#This Row],[番号]],"@"),TEXT(_番号ADO[番号],"@"),_番号ADO[発生],"",0,1)</f>
        <v>成形</v>
      </c>
      <c r="N144" s="1" t="str">
        <f>_xlfn.IFS(MID(_不良集計ゾーン別ADO[[#This Row],[品番]],3,2)="Fr","Fr",MID(_不良集計ゾーン別ADO[[#This Row],[品番]],3,2)="Rr","Rr",TRUE,"")</f>
        <v>Fr</v>
      </c>
      <c r="O144" s="1" t="str">
        <f>IF(ISBLANK(_不良集計ゾーン別ADO[[#This Row],[品番]]),"",RIGHT(_不良集計ゾーン別ADO[[#This Row],[品番]],2))</f>
        <v>LH</v>
      </c>
      <c r="P144" s="1" t="str">
        <f>_xlfn.IFS(LEFT(_不良集計ゾーン別ADO[[#This Row],[品番]],2)="アル","アルヴェル",LEFT(_不良集計ゾーン別ADO[[#This Row],[品番]],2)="ノア","ノアヴォク",TRUE,"")</f>
        <v>ノアヴォク</v>
      </c>
      <c r="U144" s="1"/>
    </row>
    <row r="145" spans="1:21" x14ac:dyDescent="0.45">
      <c r="A145">
        <v>141</v>
      </c>
      <c r="B145" s="16">
        <v>46034</v>
      </c>
      <c r="C145" s="1" t="s">
        <v>35</v>
      </c>
      <c r="D145" s="1" t="s">
        <v>95</v>
      </c>
      <c r="E145" s="1" t="s">
        <v>36</v>
      </c>
      <c r="F145" s="1" t="s">
        <v>1</v>
      </c>
      <c r="G145" s="1" t="s">
        <v>64</v>
      </c>
      <c r="H145" s="1">
        <v>2</v>
      </c>
      <c r="I145">
        <v>0</v>
      </c>
      <c r="J145" s="1" t="str" cm="1">
        <f t="array" ref="J145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ウエルド</v>
      </c>
      <c r="K145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ウエルド</v>
      </c>
      <c r="L145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145" s="1" t="str" cm="1">
        <f t="array" ref="M145">_xlfn.XLOOKUP(TEXT(_不良集計ゾーン別ADO[[#This Row],[番号]],"@"),TEXT(_番号ADO[番号],"@"),_番号ADO[発生],"",0,1)</f>
        <v>成形</v>
      </c>
      <c r="N145" s="1" t="str">
        <f>_xlfn.IFS(MID(_不良集計ゾーン別ADO[[#This Row],[品番]],3,2)="Fr","Fr",MID(_不良集計ゾーン別ADO[[#This Row],[品番]],3,2)="Rr","Rr",TRUE,"")</f>
        <v>Fr</v>
      </c>
      <c r="O145" s="1" t="str">
        <f>IF(ISBLANK(_不良集計ゾーン別ADO[[#This Row],[品番]]),"",RIGHT(_不良集計ゾーン別ADO[[#This Row],[品番]],2))</f>
        <v>LH</v>
      </c>
      <c r="P145" s="1" t="str">
        <f>_xlfn.IFS(LEFT(_不良集計ゾーン別ADO[[#This Row],[品番]],2)="アル","アルヴェル",LEFT(_不良集計ゾーン別ADO[[#This Row],[品番]],2)="ノア","ノアヴォク",TRUE,"")</f>
        <v>ノアヴォク</v>
      </c>
      <c r="U145" s="1"/>
    </row>
    <row r="146" spans="1:21" x14ac:dyDescent="0.45">
      <c r="A146">
        <v>142</v>
      </c>
      <c r="B146" s="16">
        <v>46034</v>
      </c>
      <c r="C146" s="1" t="s">
        <v>35</v>
      </c>
      <c r="D146" s="1" t="s">
        <v>95</v>
      </c>
      <c r="E146" s="1" t="s">
        <v>36</v>
      </c>
      <c r="F146" s="1" t="s">
        <v>0</v>
      </c>
      <c r="G146" s="1" t="s">
        <v>61</v>
      </c>
      <c r="H146" s="1">
        <v>1</v>
      </c>
      <c r="I146">
        <v>0</v>
      </c>
      <c r="J146" s="1" t="str" cm="1">
        <f t="array" ref="J146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塗装ひげ</v>
      </c>
      <c r="K146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塗装ひげ</v>
      </c>
      <c r="L146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146" s="1" t="str" cm="1">
        <f t="array" ref="M146">_xlfn.XLOOKUP(TEXT(_不良集計ゾーン別ADO[[#This Row],[番号]],"@"),TEXT(_番号ADO[番号],"@"),_番号ADO[発生],"",0,1)</f>
        <v>塗装</v>
      </c>
      <c r="N146" s="1" t="str">
        <f>_xlfn.IFS(MID(_不良集計ゾーン別ADO[[#This Row],[品番]],3,2)="Fr","Fr",MID(_不良集計ゾーン別ADO[[#This Row],[品番]],3,2)="Rr","Rr",TRUE,"")</f>
        <v>Fr</v>
      </c>
      <c r="O146" s="1" t="str">
        <f>IF(ISBLANK(_不良集計ゾーン別ADO[[#This Row],[品番]]),"",RIGHT(_不良集計ゾーン別ADO[[#This Row],[品番]],2))</f>
        <v>LH</v>
      </c>
      <c r="P146" s="1" t="str">
        <f>_xlfn.IFS(LEFT(_不良集計ゾーン別ADO[[#This Row],[品番]],2)="アル","アルヴェル",LEFT(_不良集計ゾーン別ADO[[#This Row],[品番]],2)="ノア","ノアヴォク",TRUE,"")</f>
        <v>ノアヴォク</v>
      </c>
      <c r="U146" s="1"/>
    </row>
    <row r="147" spans="1:21" x14ac:dyDescent="0.45">
      <c r="A147">
        <v>143</v>
      </c>
      <c r="B147" s="16">
        <v>46034</v>
      </c>
      <c r="C147" s="1" t="s">
        <v>35</v>
      </c>
      <c r="D147" s="1" t="s">
        <v>95</v>
      </c>
      <c r="E147" s="1" t="s">
        <v>36</v>
      </c>
      <c r="F147" s="1" t="s">
        <v>0</v>
      </c>
      <c r="G147" s="1" t="s">
        <v>40</v>
      </c>
      <c r="H147" s="1">
        <v>1</v>
      </c>
      <c r="I147">
        <v>0</v>
      </c>
      <c r="J147" s="1" t="str" cm="1">
        <f t="array" ref="J147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塗料付着</v>
      </c>
      <c r="K147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塗料付着</v>
      </c>
      <c r="L147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147" s="1" t="str" cm="1">
        <f t="array" ref="M147">_xlfn.XLOOKUP(TEXT(_不良集計ゾーン別ADO[[#This Row],[番号]],"@"),TEXT(_番号ADO[番号],"@"),_番号ADO[発生],"",0,1)</f>
        <v>塗装</v>
      </c>
      <c r="N147" s="1" t="str">
        <f>_xlfn.IFS(MID(_不良集計ゾーン別ADO[[#This Row],[品番]],3,2)="Fr","Fr",MID(_不良集計ゾーン別ADO[[#This Row],[品番]],3,2)="Rr","Rr",TRUE,"")</f>
        <v>Fr</v>
      </c>
      <c r="O147" s="1" t="str">
        <f>IF(ISBLANK(_不良集計ゾーン別ADO[[#This Row],[品番]]),"",RIGHT(_不良集計ゾーン別ADO[[#This Row],[品番]],2))</f>
        <v>LH</v>
      </c>
      <c r="P147" s="1" t="str">
        <f>_xlfn.IFS(LEFT(_不良集計ゾーン別ADO[[#This Row],[品番]],2)="アル","アルヴェル",LEFT(_不良集計ゾーン別ADO[[#This Row],[品番]],2)="ノア","ノアヴォク",TRUE,"")</f>
        <v>ノアヴォク</v>
      </c>
      <c r="U147" s="1"/>
    </row>
    <row r="148" spans="1:21" x14ac:dyDescent="0.45">
      <c r="A148">
        <v>144</v>
      </c>
      <c r="B148" s="16">
        <v>46034</v>
      </c>
      <c r="C148" s="1" t="s">
        <v>35</v>
      </c>
      <c r="D148" s="1" t="s">
        <v>95</v>
      </c>
      <c r="E148" s="1" t="s">
        <v>36</v>
      </c>
      <c r="F148" s="1" t="s">
        <v>0</v>
      </c>
      <c r="G148" s="1" t="s">
        <v>52</v>
      </c>
      <c r="H148" s="1">
        <v>1</v>
      </c>
      <c r="I148">
        <v>0</v>
      </c>
      <c r="J148" s="1" t="str" cm="1">
        <f t="array" ref="J148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148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148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148" s="1" t="str" cm="1">
        <f t="array" ref="M148">_xlfn.XLOOKUP(TEXT(_不良集計ゾーン別ADO[[#This Row],[番号]],"@"),TEXT(_番号ADO[番号],"@"),_番号ADO[発生],"",0,1)</f>
        <v>成形</v>
      </c>
      <c r="N148" s="1" t="str">
        <f>_xlfn.IFS(MID(_不良集計ゾーン別ADO[[#This Row],[品番]],3,2)="Fr","Fr",MID(_不良集計ゾーン別ADO[[#This Row],[品番]],3,2)="Rr","Rr",TRUE,"")</f>
        <v>Fr</v>
      </c>
      <c r="O148" s="1" t="str">
        <f>IF(ISBLANK(_不良集計ゾーン別ADO[[#This Row],[品番]]),"",RIGHT(_不良集計ゾーン別ADO[[#This Row],[品番]],2))</f>
        <v>LH</v>
      </c>
      <c r="P148" s="1" t="str">
        <f>_xlfn.IFS(LEFT(_不良集計ゾーン別ADO[[#This Row],[品番]],2)="アル","アルヴェル",LEFT(_不良集計ゾーン別ADO[[#This Row],[品番]],2)="ノア","ノアヴォク",TRUE,"")</f>
        <v>ノアヴォク</v>
      </c>
      <c r="U148" s="1"/>
    </row>
    <row r="149" spans="1:21" x14ac:dyDescent="0.45">
      <c r="A149">
        <v>145</v>
      </c>
      <c r="B149" s="16">
        <v>46034</v>
      </c>
      <c r="C149" s="1" t="s">
        <v>41</v>
      </c>
      <c r="D149" s="1" t="s">
        <v>95</v>
      </c>
      <c r="E149" s="1" t="s">
        <v>36</v>
      </c>
      <c r="F149" s="1" t="s">
        <v>0</v>
      </c>
      <c r="G149" s="1" t="s">
        <v>40</v>
      </c>
      <c r="H149" s="1">
        <v>1</v>
      </c>
      <c r="I149">
        <v>0</v>
      </c>
      <c r="J149" s="1" t="str" cm="1">
        <f t="array" ref="J149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塗料付着</v>
      </c>
      <c r="K149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塗料付着</v>
      </c>
      <c r="L149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149" s="1" t="str" cm="1">
        <f t="array" ref="M149">_xlfn.XLOOKUP(TEXT(_不良集計ゾーン別ADO[[#This Row],[番号]],"@"),TEXT(_番号ADO[番号],"@"),_番号ADO[発生],"",0,1)</f>
        <v>塗装</v>
      </c>
      <c r="N149" s="1" t="str">
        <f>_xlfn.IFS(MID(_不良集計ゾーン別ADO[[#This Row],[品番]],3,2)="Fr","Fr",MID(_不良集計ゾーン別ADO[[#This Row],[品番]],3,2)="Rr","Rr",TRUE,"")</f>
        <v>Fr</v>
      </c>
      <c r="O149" s="1" t="str">
        <f>IF(ISBLANK(_不良集計ゾーン別ADO[[#This Row],[品番]]),"",RIGHT(_不良集計ゾーン別ADO[[#This Row],[品番]],2))</f>
        <v>RH</v>
      </c>
      <c r="P149" s="1" t="str">
        <f>_xlfn.IFS(LEFT(_不良集計ゾーン別ADO[[#This Row],[品番]],2)="アル","アルヴェル",LEFT(_不良集計ゾーン別ADO[[#This Row],[品番]],2)="ノア","ノアヴォク",TRUE,"")</f>
        <v>ノアヴォク</v>
      </c>
      <c r="U149" s="1"/>
    </row>
    <row r="150" spans="1:21" x14ac:dyDescent="0.45">
      <c r="A150">
        <v>146</v>
      </c>
      <c r="B150" s="16">
        <v>46034</v>
      </c>
      <c r="C150" s="1" t="s">
        <v>42</v>
      </c>
      <c r="D150" s="1" t="s">
        <v>95</v>
      </c>
      <c r="E150" s="1" t="s">
        <v>36</v>
      </c>
      <c r="F150" s="1" t="s">
        <v>1</v>
      </c>
      <c r="G150" s="1" t="s">
        <v>64</v>
      </c>
      <c r="H150" s="1">
        <v>2</v>
      </c>
      <c r="I150">
        <v>0</v>
      </c>
      <c r="J150" s="1" t="str" cm="1">
        <f t="array" ref="J150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ウエルド</v>
      </c>
      <c r="K150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ウエルド</v>
      </c>
      <c r="L150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150" s="1" t="str" cm="1">
        <f t="array" ref="M150">_xlfn.XLOOKUP(TEXT(_不良集計ゾーン別ADO[[#This Row],[番号]],"@"),TEXT(_番号ADO[番号],"@"),_番号ADO[発生],"",0,1)</f>
        <v>成形</v>
      </c>
      <c r="N150" s="1" t="str">
        <f>_xlfn.IFS(MID(_不良集計ゾーン別ADO[[#This Row],[品番]],3,2)="Fr","Fr",MID(_不良集計ゾーン別ADO[[#This Row],[品番]],3,2)="Rr","Rr",TRUE,"")</f>
        <v>Rr</v>
      </c>
      <c r="O150" s="1" t="str">
        <f>IF(ISBLANK(_不良集計ゾーン別ADO[[#This Row],[品番]]),"",RIGHT(_不良集計ゾーン別ADO[[#This Row],[品番]],2))</f>
        <v>LH</v>
      </c>
      <c r="P150" s="1" t="str">
        <f>_xlfn.IFS(LEFT(_不良集計ゾーン別ADO[[#This Row],[品番]],2)="アル","アルヴェル",LEFT(_不良集計ゾーン別ADO[[#This Row],[品番]],2)="ノア","ノアヴォク",TRUE,"")</f>
        <v>ノアヴォク</v>
      </c>
      <c r="U150" s="1"/>
    </row>
    <row r="151" spans="1:21" x14ac:dyDescent="0.45">
      <c r="A151">
        <v>147</v>
      </c>
      <c r="B151" s="16">
        <v>46035</v>
      </c>
      <c r="C151" s="1" t="s">
        <v>35</v>
      </c>
      <c r="D151" s="1" t="s">
        <v>89</v>
      </c>
      <c r="E151" s="1" t="s">
        <v>36</v>
      </c>
      <c r="F151" s="1" t="s">
        <v>4</v>
      </c>
      <c r="G151" s="1" t="s">
        <v>40</v>
      </c>
      <c r="H151" s="1">
        <v>1</v>
      </c>
      <c r="I151">
        <v>0</v>
      </c>
      <c r="J151" s="1" t="str" cm="1">
        <f t="array" ref="J151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塗料付着</v>
      </c>
      <c r="K151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塗料付着</v>
      </c>
      <c r="L151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151" s="1" t="str" cm="1">
        <f t="array" ref="M151">_xlfn.XLOOKUP(TEXT(_不良集計ゾーン別ADO[[#This Row],[番号]],"@"),TEXT(_番号ADO[番号],"@"),_番号ADO[発生],"",0,1)</f>
        <v>塗装</v>
      </c>
      <c r="N151" s="1" t="str">
        <f>_xlfn.IFS(MID(_不良集計ゾーン別ADO[[#This Row],[品番]],3,2)="Fr","Fr",MID(_不良集計ゾーン別ADO[[#This Row],[品番]],3,2)="Rr","Rr",TRUE,"")</f>
        <v>Fr</v>
      </c>
      <c r="O151" s="1" t="str">
        <f>IF(ISBLANK(_不良集計ゾーン別ADO[[#This Row],[品番]]),"",RIGHT(_不良集計ゾーン別ADO[[#This Row],[品番]],2))</f>
        <v>LH</v>
      </c>
      <c r="P151" s="1" t="str">
        <f>_xlfn.IFS(LEFT(_不良集計ゾーン別ADO[[#This Row],[品番]],2)="アル","アルヴェル",LEFT(_不良集計ゾーン別ADO[[#This Row],[品番]],2)="ノア","ノアヴォク",TRUE,"")</f>
        <v>ノアヴォク</v>
      </c>
      <c r="U151" s="1"/>
    </row>
    <row r="152" spans="1:21" x14ac:dyDescent="0.45">
      <c r="A152">
        <v>148</v>
      </c>
      <c r="B152" s="16">
        <v>46035</v>
      </c>
      <c r="C152" s="1" t="s">
        <v>35</v>
      </c>
      <c r="D152" s="1" t="s">
        <v>89</v>
      </c>
      <c r="E152" s="1" t="s">
        <v>36</v>
      </c>
      <c r="F152" s="1" t="s">
        <v>0</v>
      </c>
      <c r="G152" s="1" t="s">
        <v>61</v>
      </c>
      <c r="H152" s="1">
        <v>1</v>
      </c>
      <c r="I152">
        <v>0</v>
      </c>
      <c r="J152" s="1" t="str" cm="1">
        <f t="array" ref="J152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塗装ひげ</v>
      </c>
      <c r="K152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塗装ひげ</v>
      </c>
      <c r="L152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152" s="1" t="str" cm="1">
        <f t="array" ref="M152">_xlfn.XLOOKUP(TEXT(_不良集計ゾーン別ADO[[#This Row],[番号]],"@"),TEXT(_番号ADO[番号],"@"),_番号ADO[発生],"",0,1)</f>
        <v>塗装</v>
      </c>
      <c r="N152" s="1" t="str">
        <f>_xlfn.IFS(MID(_不良集計ゾーン別ADO[[#This Row],[品番]],3,2)="Fr","Fr",MID(_不良集計ゾーン別ADO[[#This Row],[品番]],3,2)="Rr","Rr",TRUE,"")</f>
        <v>Fr</v>
      </c>
      <c r="O152" s="1" t="str">
        <f>IF(ISBLANK(_不良集計ゾーン別ADO[[#This Row],[品番]]),"",RIGHT(_不良集計ゾーン別ADO[[#This Row],[品番]],2))</f>
        <v>LH</v>
      </c>
      <c r="P152" s="1" t="str">
        <f>_xlfn.IFS(LEFT(_不良集計ゾーン別ADO[[#This Row],[品番]],2)="アル","アルヴェル",LEFT(_不良集計ゾーン別ADO[[#This Row],[品番]],2)="ノア","ノアヴォク",TRUE,"")</f>
        <v>ノアヴォク</v>
      </c>
      <c r="U152" s="1"/>
    </row>
    <row r="153" spans="1:21" x14ac:dyDescent="0.45">
      <c r="A153">
        <v>149</v>
      </c>
      <c r="B153" s="16">
        <v>46035</v>
      </c>
      <c r="C153" s="1" t="s">
        <v>35</v>
      </c>
      <c r="D153" s="1" t="s">
        <v>89</v>
      </c>
      <c r="E153" s="1" t="s">
        <v>36</v>
      </c>
      <c r="F153" s="1" t="s">
        <v>0</v>
      </c>
      <c r="G153" s="1" t="s">
        <v>36</v>
      </c>
      <c r="H153" s="1">
        <v>1</v>
      </c>
      <c r="I153">
        <v>0</v>
      </c>
      <c r="J153" s="1" t="str" cm="1">
        <f t="array" ref="J153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粘着</v>
      </c>
      <c r="K153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粘着</v>
      </c>
      <c r="L153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153" s="1" t="str" cm="1">
        <f t="array" ref="M153">_xlfn.XLOOKUP(TEXT(_不良集計ゾーン別ADO[[#This Row],[番号]],"@"),TEXT(_番号ADO[番号],"@"),_番号ADO[発生],"",0,1)</f>
        <v>加工</v>
      </c>
      <c r="N153" s="1" t="str">
        <f>_xlfn.IFS(MID(_不良集計ゾーン別ADO[[#This Row],[品番]],3,2)="Fr","Fr",MID(_不良集計ゾーン別ADO[[#This Row],[品番]],3,2)="Rr","Rr",TRUE,"")</f>
        <v>Fr</v>
      </c>
      <c r="O153" s="1" t="str">
        <f>IF(ISBLANK(_不良集計ゾーン別ADO[[#This Row],[品番]]),"",RIGHT(_不良集計ゾーン別ADO[[#This Row],[品番]],2))</f>
        <v>LH</v>
      </c>
      <c r="P153" s="1" t="str">
        <f>_xlfn.IFS(LEFT(_不良集計ゾーン別ADO[[#This Row],[品番]],2)="アル","アルヴェル",LEFT(_不良集計ゾーン別ADO[[#This Row],[品番]],2)="ノア","ノアヴォク",TRUE,"")</f>
        <v>ノアヴォク</v>
      </c>
      <c r="U153" s="1"/>
    </row>
    <row r="154" spans="1:21" x14ac:dyDescent="0.45">
      <c r="A154">
        <v>150</v>
      </c>
      <c r="B154" s="16">
        <v>46035</v>
      </c>
      <c r="C154" s="1" t="s">
        <v>41</v>
      </c>
      <c r="D154" s="1" t="s">
        <v>89</v>
      </c>
      <c r="E154" s="1" t="s">
        <v>36</v>
      </c>
      <c r="F154" s="1" t="s">
        <v>0</v>
      </c>
      <c r="G154" s="1" t="s">
        <v>52</v>
      </c>
      <c r="H154" s="1">
        <v>1</v>
      </c>
      <c r="I154">
        <v>0</v>
      </c>
      <c r="J154" s="1" t="str" cm="1">
        <f t="array" ref="J154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154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154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154" s="1" t="str" cm="1">
        <f t="array" ref="M154">_xlfn.XLOOKUP(TEXT(_不良集計ゾーン別ADO[[#This Row],[番号]],"@"),TEXT(_番号ADO[番号],"@"),_番号ADO[発生],"",0,1)</f>
        <v>成形</v>
      </c>
      <c r="N154" s="1" t="str">
        <f>_xlfn.IFS(MID(_不良集計ゾーン別ADO[[#This Row],[品番]],3,2)="Fr","Fr",MID(_不良集計ゾーン別ADO[[#This Row],[品番]],3,2)="Rr","Rr",TRUE,"")</f>
        <v>Fr</v>
      </c>
      <c r="O154" s="1" t="str">
        <f>IF(ISBLANK(_不良集計ゾーン別ADO[[#This Row],[品番]]),"",RIGHT(_不良集計ゾーン別ADO[[#This Row],[品番]],2))</f>
        <v>RH</v>
      </c>
      <c r="P154" s="1" t="str">
        <f>_xlfn.IFS(LEFT(_不良集計ゾーン別ADO[[#This Row],[品番]],2)="アル","アルヴェル",LEFT(_不良集計ゾーン別ADO[[#This Row],[品番]],2)="ノア","ノアヴォク",TRUE,"")</f>
        <v>ノアヴォク</v>
      </c>
      <c r="U154" s="1"/>
    </row>
    <row r="155" spans="1:21" x14ac:dyDescent="0.45">
      <c r="A155">
        <v>151</v>
      </c>
      <c r="B155" s="16">
        <v>46035</v>
      </c>
      <c r="C155" s="1" t="s">
        <v>41</v>
      </c>
      <c r="D155" s="1" t="s">
        <v>89</v>
      </c>
      <c r="E155" s="1" t="s">
        <v>36</v>
      </c>
      <c r="F155" s="1" t="s">
        <v>2</v>
      </c>
      <c r="G155" s="1" t="s">
        <v>52</v>
      </c>
      <c r="H155" s="1">
        <v>1</v>
      </c>
      <c r="I155">
        <v>0</v>
      </c>
      <c r="J155" s="1" t="str" cm="1">
        <f t="array" ref="J155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155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155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155" s="1" t="str" cm="1">
        <f t="array" ref="M155">_xlfn.XLOOKUP(TEXT(_不良集計ゾーン別ADO[[#This Row],[番号]],"@"),TEXT(_番号ADO[番号],"@"),_番号ADO[発生],"",0,1)</f>
        <v>成形</v>
      </c>
      <c r="N155" s="1" t="str">
        <f>_xlfn.IFS(MID(_不良集計ゾーン別ADO[[#This Row],[品番]],3,2)="Fr","Fr",MID(_不良集計ゾーン別ADO[[#This Row],[品番]],3,2)="Rr","Rr",TRUE,"")</f>
        <v>Fr</v>
      </c>
      <c r="O155" s="1" t="str">
        <f>IF(ISBLANK(_不良集計ゾーン別ADO[[#This Row],[品番]]),"",RIGHT(_不良集計ゾーン別ADO[[#This Row],[品番]],2))</f>
        <v>RH</v>
      </c>
      <c r="P155" s="1" t="str">
        <f>_xlfn.IFS(LEFT(_不良集計ゾーン別ADO[[#This Row],[品番]],2)="アル","アルヴェル",LEFT(_不良集計ゾーン別ADO[[#This Row],[品番]],2)="ノア","ノアヴォク",TRUE,"")</f>
        <v>ノアヴォク</v>
      </c>
      <c r="U155" s="1"/>
    </row>
    <row r="156" spans="1:21" x14ac:dyDescent="0.45">
      <c r="A156">
        <v>152</v>
      </c>
      <c r="B156" s="16">
        <v>46035</v>
      </c>
      <c r="C156" s="1" t="s">
        <v>43</v>
      </c>
      <c r="D156" s="1" t="s">
        <v>89</v>
      </c>
      <c r="E156" s="1" t="s">
        <v>36</v>
      </c>
      <c r="F156" s="1" t="s">
        <v>4</v>
      </c>
      <c r="G156" s="1" t="s">
        <v>52</v>
      </c>
      <c r="H156" s="1">
        <v>1</v>
      </c>
      <c r="I156">
        <v>0</v>
      </c>
      <c r="J156" s="1" t="str" cm="1">
        <f t="array" ref="J156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156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156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156" s="1" t="str" cm="1">
        <f t="array" ref="M156">_xlfn.XLOOKUP(TEXT(_不良集計ゾーン別ADO[[#This Row],[番号]],"@"),TEXT(_番号ADO[番号],"@"),_番号ADO[発生],"",0,1)</f>
        <v>成形</v>
      </c>
      <c r="N156" s="1" t="str">
        <f>_xlfn.IFS(MID(_不良集計ゾーン別ADO[[#This Row],[品番]],3,2)="Fr","Fr",MID(_不良集計ゾーン別ADO[[#This Row],[品番]],3,2)="Rr","Rr",TRUE,"")</f>
        <v>Rr</v>
      </c>
      <c r="O156" s="1" t="str">
        <f>IF(ISBLANK(_不良集計ゾーン別ADO[[#This Row],[品番]]),"",RIGHT(_不良集計ゾーン別ADO[[#This Row],[品番]],2))</f>
        <v>RH</v>
      </c>
      <c r="P156" s="1" t="str">
        <f>_xlfn.IFS(LEFT(_不良集計ゾーン別ADO[[#This Row],[品番]],2)="アル","アルヴェル",LEFT(_不良集計ゾーン別ADO[[#This Row],[品番]],2)="ノア","ノアヴォク",TRUE,"")</f>
        <v>ノアヴォク</v>
      </c>
      <c r="U156" s="1"/>
    </row>
    <row r="157" spans="1:21" x14ac:dyDescent="0.45">
      <c r="A157">
        <v>153</v>
      </c>
      <c r="B157" s="16">
        <v>46035</v>
      </c>
      <c r="C157" s="1" t="s">
        <v>44</v>
      </c>
      <c r="D157" s="1" t="s">
        <v>193</v>
      </c>
      <c r="E157" s="1" t="s">
        <v>50</v>
      </c>
      <c r="F157" s="1" t="s">
        <v>2</v>
      </c>
      <c r="G157" s="1" t="s">
        <v>45</v>
      </c>
      <c r="H157" s="1">
        <v>1</v>
      </c>
      <c r="I157">
        <v>0</v>
      </c>
      <c r="J157" s="1" t="str" cm="1">
        <f t="array" ref="J157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SUSキズ</v>
      </c>
      <c r="K157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SUSキズ</v>
      </c>
      <c r="L157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モール</v>
      </c>
      <c r="M157" s="1" t="str" cm="1">
        <f t="array" ref="M157">_xlfn.XLOOKUP(TEXT(_不良集計ゾーン別ADO[[#This Row],[番号]],"@"),TEXT(_番号ADO[番号],"@"),_番号ADO[発生],"",0,1)</f>
        <v>モール</v>
      </c>
      <c r="N157" s="1" t="str">
        <f>_xlfn.IFS(MID(_不良集計ゾーン別ADO[[#This Row],[品番]],3,2)="Fr","Fr",MID(_不良集計ゾーン別ADO[[#This Row],[品番]],3,2)="Rr","Rr",TRUE,"")</f>
        <v>Fr</v>
      </c>
      <c r="O157" s="1" t="str">
        <f>IF(ISBLANK(_不良集計ゾーン別ADO[[#This Row],[品番]]),"",RIGHT(_不良集計ゾーン別ADO[[#This Row],[品番]],2))</f>
        <v>LH</v>
      </c>
      <c r="P157" s="1" t="str">
        <f>_xlfn.IFS(LEFT(_不良集計ゾーン別ADO[[#This Row],[品番]],2)="アル","アルヴェル",LEFT(_不良集計ゾーン別ADO[[#This Row],[品番]],2)="ノア","ノアヴォク",TRUE,"")</f>
        <v>アルヴェル</v>
      </c>
      <c r="U157" s="1"/>
    </row>
    <row r="158" spans="1:21" x14ac:dyDescent="0.45">
      <c r="A158">
        <v>154</v>
      </c>
      <c r="B158" s="16">
        <v>46035</v>
      </c>
      <c r="C158" s="1" t="s">
        <v>46</v>
      </c>
      <c r="D158" s="1" t="s">
        <v>193</v>
      </c>
      <c r="E158" s="1" t="s">
        <v>50</v>
      </c>
      <c r="F158" s="1" t="s">
        <v>0</v>
      </c>
      <c r="G158" s="1" t="s">
        <v>39</v>
      </c>
      <c r="H158" s="1">
        <v>1</v>
      </c>
      <c r="I158">
        <v>1</v>
      </c>
      <c r="J158" s="1" t="str" cm="1">
        <f t="array" ref="J158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ピンホール</v>
      </c>
      <c r="K158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ピンホール</v>
      </c>
      <c r="L158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モール</v>
      </c>
      <c r="M158" s="1" t="str" cm="1">
        <f t="array" ref="M158">_xlfn.XLOOKUP(TEXT(_不良集計ゾーン別ADO[[#This Row],[番号]],"@"),TEXT(_番号ADO[番号],"@"),_番号ADO[発生],"",0,1)</f>
        <v>塗装</v>
      </c>
      <c r="N158" s="1" t="str">
        <f>_xlfn.IFS(MID(_不良集計ゾーン別ADO[[#This Row],[品番]],3,2)="Fr","Fr",MID(_不良集計ゾーン別ADO[[#This Row],[品番]],3,2)="Rr","Rr",TRUE,"")</f>
        <v>Rr</v>
      </c>
      <c r="O158" s="1" t="str">
        <f>IF(ISBLANK(_不良集計ゾーン別ADO[[#This Row],[品番]]),"",RIGHT(_不良集計ゾーン別ADO[[#This Row],[品番]],2))</f>
        <v>LH</v>
      </c>
      <c r="P158" s="1" t="str">
        <f>_xlfn.IFS(LEFT(_不良集計ゾーン別ADO[[#This Row],[品番]],2)="アル","アルヴェル",LEFT(_不良集計ゾーン別ADO[[#This Row],[品番]],2)="ノア","ノアヴォク",TRUE,"")</f>
        <v>アルヴェル</v>
      </c>
      <c r="U158" s="1"/>
    </row>
    <row r="159" spans="1:21" x14ac:dyDescent="0.45">
      <c r="A159">
        <v>155</v>
      </c>
      <c r="B159" s="16">
        <v>46035</v>
      </c>
      <c r="C159" s="1" t="s">
        <v>49</v>
      </c>
      <c r="D159" s="1" t="s">
        <v>193</v>
      </c>
      <c r="E159" s="1" t="s">
        <v>50</v>
      </c>
      <c r="F159" s="1" t="s">
        <v>4</v>
      </c>
      <c r="G159" s="1" t="s">
        <v>52</v>
      </c>
      <c r="H159" s="1">
        <v>1</v>
      </c>
      <c r="I159">
        <v>0</v>
      </c>
      <c r="J159" s="1" t="str" cm="1">
        <f t="array" ref="J159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159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159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モール</v>
      </c>
      <c r="M159" s="1" t="str" cm="1">
        <f t="array" ref="M159">_xlfn.XLOOKUP(TEXT(_不良集計ゾーン別ADO[[#This Row],[番号]],"@"),TEXT(_番号ADO[番号],"@"),_番号ADO[発生],"",0,1)</f>
        <v>成形</v>
      </c>
      <c r="N159" s="1" t="str">
        <f>_xlfn.IFS(MID(_不良集計ゾーン別ADO[[#This Row],[品番]],3,2)="Fr","Fr",MID(_不良集計ゾーン別ADO[[#This Row],[品番]],3,2)="Rr","Rr",TRUE,"")</f>
        <v>Rr</v>
      </c>
      <c r="O159" s="1" t="str">
        <f>IF(ISBLANK(_不良集計ゾーン別ADO[[#This Row],[品番]]),"",RIGHT(_不良集計ゾーン別ADO[[#This Row],[品番]],2))</f>
        <v>RH</v>
      </c>
      <c r="P159" s="1" t="str">
        <f>_xlfn.IFS(LEFT(_不良集計ゾーン別ADO[[#This Row],[品番]],2)="アル","アルヴェル",LEFT(_不良集計ゾーン別ADO[[#This Row],[品番]],2)="ノア","ノアヴォク",TRUE,"")</f>
        <v>アルヴェル</v>
      </c>
      <c r="U159" s="1"/>
    </row>
    <row r="160" spans="1:21" x14ac:dyDescent="0.45">
      <c r="A160">
        <v>156</v>
      </c>
      <c r="B160" s="16">
        <v>46035</v>
      </c>
      <c r="C160" s="1" t="s">
        <v>49</v>
      </c>
      <c r="D160" s="1" t="s">
        <v>193</v>
      </c>
      <c r="E160" s="1" t="s">
        <v>50</v>
      </c>
      <c r="F160" s="1" t="s">
        <v>4</v>
      </c>
      <c r="G160" s="1" t="s">
        <v>64</v>
      </c>
      <c r="H160" s="1">
        <v>1</v>
      </c>
      <c r="I160">
        <v>0</v>
      </c>
      <c r="J160" s="1" t="str" cm="1">
        <f t="array" ref="J160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ウエルド</v>
      </c>
      <c r="K160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ウエルド</v>
      </c>
      <c r="L160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モール</v>
      </c>
      <c r="M160" s="1" t="str" cm="1">
        <f t="array" ref="M160">_xlfn.XLOOKUP(TEXT(_不良集計ゾーン別ADO[[#This Row],[番号]],"@"),TEXT(_番号ADO[番号],"@"),_番号ADO[発生],"",0,1)</f>
        <v>成形</v>
      </c>
      <c r="N160" s="1" t="str">
        <f>_xlfn.IFS(MID(_不良集計ゾーン別ADO[[#This Row],[品番]],3,2)="Fr","Fr",MID(_不良集計ゾーン別ADO[[#This Row],[品番]],3,2)="Rr","Rr",TRUE,"")</f>
        <v>Rr</v>
      </c>
      <c r="O160" s="1" t="str">
        <f>IF(ISBLANK(_不良集計ゾーン別ADO[[#This Row],[品番]]),"",RIGHT(_不良集計ゾーン別ADO[[#This Row],[品番]],2))</f>
        <v>RH</v>
      </c>
      <c r="P160" s="1" t="str">
        <f>_xlfn.IFS(LEFT(_不良集計ゾーン別ADO[[#This Row],[品番]],2)="アル","アルヴェル",LEFT(_不良集計ゾーン別ADO[[#This Row],[品番]],2)="ノア","ノアヴォク",TRUE,"")</f>
        <v>アルヴェル</v>
      </c>
      <c r="U160" s="1"/>
    </row>
    <row r="161" spans="1:21" x14ac:dyDescent="0.45">
      <c r="A161">
        <v>157</v>
      </c>
      <c r="B161" s="16">
        <v>46035</v>
      </c>
      <c r="C161" s="1" t="s">
        <v>35</v>
      </c>
      <c r="D161" s="1" t="s">
        <v>37</v>
      </c>
      <c r="E161" s="1" t="s">
        <v>36</v>
      </c>
      <c r="F161" s="1" t="s">
        <v>1</v>
      </c>
      <c r="G161" s="1" t="s">
        <v>40</v>
      </c>
      <c r="H161" s="1">
        <v>1</v>
      </c>
      <c r="I161">
        <v>0</v>
      </c>
      <c r="J161" s="1" t="str" cm="1">
        <f t="array" ref="J161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塗料付着</v>
      </c>
      <c r="K161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塗料付着</v>
      </c>
      <c r="L161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161" s="1" t="str" cm="1">
        <f t="array" ref="M161">_xlfn.XLOOKUP(TEXT(_不良集計ゾーン別ADO[[#This Row],[番号]],"@"),TEXT(_番号ADO[番号],"@"),_番号ADO[発生],"",0,1)</f>
        <v>塗装</v>
      </c>
      <c r="N161" s="1" t="str">
        <f>_xlfn.IFS(MID(_不良集計ゾーン別ADO[[#This Row],[品番]],3,2)="Fr","Fr",MID(_不良集計ゾーン別ADO[[#This Row],[品番]],3,2)="Rr","Rr",TRUE,"")</f>
        <v>Fr</v>
      </c>
      <c r="O161" s="1" t="str">
        <f>IF(ISBLANK(_不良集計ゾーン別ADO[[#This Row],[品番]]),"",RIGHT(_不良集計ゾーン別ADO[[#This Row],[品番]],2))</f>
        <v>LH</v>
      </c>
      <c r="P161" s="1" t="str">
        <f>_xlfn.IFS(LEFT(_不良集計ゾーン別ADO[[#This Row],[品番]],2)="アル","アルヴェル",LEFT(_不良集計ゾーン別ADO[[#This Row],[品番]],2)="ノア","ノアヴォク",TRUE,"")</f>
        <v>ノアヴォク</v>
      </c>
      <c r="U161" s="1"/>
    </row>
    <row r="162" spans="1:21" x14ac:dyDescent="0.45">
      <c r="A162">
        <v>158</v>
      </c>
      <c r="B162" s="16">
        <v>46035</v>
      </c>
      <c r="C162" s="1" t="s">
        <v>41</v>
      </c>
      <c r="D162" s="1" t="s">
        <v>37</v>
      </c>
      <c r="E162" s="1" t="s">
        <v>36</v>
      </c>
      <c r="F162" s="1" t="s">
        <v>3</v>
      </c>
      <c r="G162" s="1" t="s">
        <v>52</v>
      </c>
      <c r="H162" s="1">
        <v>1</v>
      </c>
      <c r="I162">
        <v>0</v>
      </c>
      <c r="J162" s="1" t="str" cm="1">
        <f t="array" ref="J162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162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162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162" s="1" t="str" cm="1">
        <f t="array" ref="M162">_xlfn.XLOOKUP(TEXT(_不良集計ゾーン別ADO[[#This Row],[番号]],"@"),TEXT(_番号ADO[番号],"@"),_番号ADO[発生],"",0,1)</f>
        <v>成形</v>
      </c>
      <c r="N162" s="1" t="str">
        <f>_xlfn.IFS(MID(_不良集計ゾーン別ADO[[#This Row],[品番]],3,2)="Fr","Fr",MID(_不良集計ゾーン別ADO[[#This Row],[品番]],3,2)="Rr","Rr",TRUE,"")</f>
        <v>Fr</v>
      </c>
      <c r="O162" s="1" t="str">
        <f>IF(ISBLANK(_不良集計ゾーン別ADO[[#This Row],[品番]]),"",RIGHT(_不良集計ゾーン別ADO[[#This Row],[品番]],2))</f>
        <v>RH</v>
      </c>
      <c r="P162" s="1" t="str">
        <f>_xlfn.IFS(LEFT(_不良集計ゾーン別ADO[[#This Row],[品番]],2)="アル","アルヴェル",LEFT(_不良集計ゾーン別ADO[[#This Row],[品番]],2)="ノア","ノアヴォク",TRUE,"")</f>
        <v>ノアヴォク</v>
      </c>
      <c r="U162" s="1"/>
    </row>
    <row r="163" spans="1:21" x14ac:dyDescent="0.45">
      <c r="A163">
        <v>159</v>
      </c>
      <c r="B163" s="16">
        <v>46035</v>
      </c>
      <c r="C163" s="1" t="s">
        <v>42</v>
      </c>
      <c r="D163" s="1" t="s">
        <v>37</v>
      </c>
      <c r="E163" s="1" t="s">
        <v>36</v>
      </c>
      <c r="F163" s="1" t="s">
        <v>4</v>
      </c>
      <c r="G163" s="1" t="s">
        <v>40</v>
      </c>
      <c r="H163" s="1">
        <v>1</v>
      </c>
      <c r="I163">
        <v>0</v>
      </c>
      <c r="J163" s="1" t="str" cm="1">
        <f t="array" ref="J163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塗料付着</v>
      </c>
      <c r="K163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塗料付着</v>
      </c>
      <c r="L163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163" s="1" t="str" cm="1">
        <f t="array" ref="M163">_xlfn.XLOOKUP(TEXT(_不良集計ゾーン別ADO[[#This Row],[番号]],"@"),TEXT(_番号ADO[番号],"@"),_番号ADO[発生],"",0,1)</f>
        <v>塗装</v>
      </c>
      <c r="N163" s="1" t="str">
        <f>_xlfn.IFS(MID(_不良集計ゾーン別ADO[[#This Row],[品番]],3,2)="Fr","Fr",MID(_不良集計ゾーン別ADO[[#This Row],[品番]],3,2)="Rr","Rr",TRUE,"")</f>
        <v>Rr</v>
      </c>
      <c r="O163" s="1" t="str">
        <f>IF(ISBLANK(_不良集計ゾーン別ADO[[#This Row],[品番]]),"",RIGHT(_不良集計ゾーン別ADO[[#This Row],[品番]],2))</f>
        <v>LH</v>
      </c>
      <c r="P163" s="1" t="str">
        <f>_xlfn.IFS(LEFT(_不良集計ゾーン別ADO[[#This Row],[品番]],2)="アル","アルヴェル",LEFT(_不良集計ゾーン別ADO[[#This Row],[品番]],2)="ノア","ノアヴォク",TRUE,"")</f>
        <v>ノアヴォク</v>
      </c>
      <c r="U163" s="1"/>
    </row>
    <row r="164" spans="1:21" x14ac:dyDescent="0.45">
      <c r="A164">
        <v>160</v>
      </c>
      <c r="B164" s="16">
        <v>46035</v>
      </c>
      <c r="C164" s="1" t="s">
        <v>42</v>
      </c>
      <c r="D164" s="1" t="s">
        <v>37</v>
      </c>
      <c r="E164" s="1" t="s">
        <v>36</v>
      </c>
      <c r="F164" s="1" t="s">
        <v>0</v>
      </c>
      <c r="G164" s="1" t="s">
        <v>52</v>
      </c>
      <c r="H164" s="1">
        <v>1</v>
      </c>
      <c r="I164">
        <v>0</v>
      </c>
      <c r="J164" s="1" t="str" cm="1">
        <f t="array" ref="J164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164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164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164" s="1" t="str" cm="1">
        <f t="array" ref="M164">_xlfn.XLOOKUP(TEXT(_不良集計ゾーン別ADO[[#This Row],[番号]],"@"),TEXT(_番号ADO[番号],"@"),_番号ADO[発生],"",0,1)</f>
        <v>成形</v>
      </c>
      <c r="N164" s="1" t="str">
        <f>_xlfn.IFS(MID(_不良集計ゾーン別ADO[[#This Row],[品番]],3,2)="Fr","Fr",MID(_不良集計ゾーン別ADO[[#This Row],[品番]],3,2)="Rr","Rr",TRUE,"")</f>
        <v>Rr</v>
      </c>
      <c r="O164" s="1" t="str">
        <f>IF(ISBLANK(_不良集計ゾーン別ADO[[#This Row],[品番]]),"",RIGHT(_不良集計ゾーン別ADO[[#This Row],[品番]],2))</f>
        <v>LH</v>
      </c>
      <c r="P164" s="1" t="str">
        <f>_xlfn.IFS(LEFT(_不良集計ゾーン別ADO[[#This Row],[品番]],2)="アル","アルヴェル",LEFT(_不良集計ゾーン別ADO[[#This Row],[品番]],2)="ノア","ノアヴォク",TRUE,"")</f>
        <v>ノアヴォク</v>
      </c>
      <c r="U164" s="1"/>
    </row>
    <row r="165" spans="1:21" x14ac:dyDescent="0.45">
      <c r="A165">
        <v>161</v>
      </c>
      <c r="B165" s="16">
        <v>46035</v>
      </c>
      <c r="C165" s="1" t="s">
        <v>43</v>
      </c>
      <c r="D165" s="1" t="s">
        <v>37</v>
      </c>
      <c r="E165" s="1" t="s">
        <v>36</v>
      </c>
      <c r="F165" s="1" t="s">
        <v>3</v>
      </c>
      <c r="G165" s="1" t="s">
        <v>39</v>
      </c>
      <c r="H165" s="1">
        <v>1</v>
      </c>
      <c r="I165">
        <v>1</v>
      </c>
      <c r="J165" s="1" t="str" cm="1">
        <f t="array" ref="J165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ピンホール</v>
      </c>
      <c r="K165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ピンホール</v>
      </c>
      <c r="L165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165" s="1" t="str" cm="1">
        <f t="array" ref="M165">_xlfn.XLOOKUP(TEXT(_不良集計ゾーン別ADO[[#This Row],[番号]],"@"),TEXT(_番号ADO[番号],"@"),_番号ADO[発生],"",0,1)</f>
        <v>塗装</v>
      </c>
      <c r="N165" s="1" t="str">
        <f>_xlfn.IFS(MID(_不良集計ゾーン別ADO[[#This Row],[品番]],3,2)="Fr","Fr",MID(_不良集計ゾーン別ADO[[#This Row],[品番]],3,2)="Rr","Rr",TRUE,"")</f>
        <v>Rr</v>
      </c>
      <c r="O165" s="1" t="str">
        <f>IF(ISBLANK(_不良集計ゾーン別ADO[[#This Row],[品番]]),"",RIGHT(_不良集計ゾーン別ADO[[#This Row],[品番]],2))</f>
        <v>RH</v>
      </c>
      <c r="P165" s="1" t="str">
        <f>_xlfn.IFS(LEFT(_不良集計ゾーン別ADO[[#This Row],[品番]],2)="アル","アルヴェル",LEFT(_不良集計ゾーン別ADO[[#This Row],[品番]],2)="ノア","ノアヴォク",TRUE,"")</f>
        <v>ノアヴォク</v>
      </c>
      <c r="U165" s="1"/>
    </row>
    <row r="166" spans="1:21" x14ac:dyDescent="0.45">
      <c r="A166">
        <v>162</v>
      </c>
      <c r="B166" s="16">
        <v>46035</v>
      </c>
      <c r="C166" s="1" t="s">
        <v>43</v>
      </c>
      <c r="D166" s="1" t="s">
        <v>37</v>
      </c>
      <c r="E166" s="1" t="s">
        <v>36</v>
      </c>
      <c r="F166" s="1" t="s">
        <v>4</v>
      </c>
      <c r="G166" s="1" t="s">
        <v>52</v>
      </c>
      <c r="H166" s="1">
        <v>1</v>
      </c>
      <c r="I166">
        <v>0</v>
      </c>
      <c r="J166" s="1" t="str" cm="1">
        <f t="array" ref="J166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166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166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166" s="1" t="str" cm="1">
        <f t="array" ref="M166">_xlfn.XLOOKUP(TEXT(_不良集計ゾーン別ADO[[#This Row],[番号]],"@"),TEXT(_番号ADO[番号],"@"),_番号ADO[発生],"",0,1)</f>
        <v>成形</v>
      </c>
      <c r="N166" s="1" t="str">
        <f>_xlfn.IFS(MID(_不良集計ゾーン別ADO[[#This Row],[品番]],3,2)="Fr","Fr",MID(_不良集計ゾーン別ADO[[#This Row],[品番]],3,2)="Rr","Rr",TRUE,"")</f>
        <v>Rr</v>
      </c>
      <c r="O166" s="1" t="str">
        <f>IF(ISBLANK(_不良集計ゾーン別ADO[[#This Row],[品番]]),"",RIGHT(_不良集計ゾーン別ADO[[#This Row],[品番]],2))</f>
        <v>RH</v>
      </c>
      <c r="P166" s="1" t="str">
        <f>_xlfn.IFS(LEFT(_不良集計ゾーン別ADO[[#This Row],[品番]],2)="アル","アルヴェル",LEFT(_不良集計ゾーン別ADO[[#This Row],[品番]],2)="ノア","ノアヴォク",TRUE,"")</f>
        <v>ノアヴォク</v>
      </c>
      <c r="U166" s="1"/>
    </row>
    <row r="167" spans="1:21" x14ac:dyDescent="0.45">
      <c r="A167">
        <v>163</v>
      </c>
      <c r="B167" s="16">
        <v>46036</v>
      </c>
      <c r="C167" s="1" t="s">
        <v>35</v>
      </c>
      <c r="D167" s="1" t="s">
        <v>103</v>
      </c>
      <c r="E167" s="1" t="s">
        <v>36</v>
      </c>
      <c r="F167" s="1" t="s">
        <v>2</v>
      </c>
      <c r="G167" s="1" t="s">
        <v>52</v>
      </c>
      <c r="H167" s="1">
        <v>1</v>
      </c>
      <c r="I167">
        <v>0</v>
      </c>
      <c r="J167" s="1" t="str" cm="1">
        <f t="array" ref="J167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167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167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167" s="1" t="str" cm="1">
        <f t="array" ref="M167">_xlfn.XLOOKUP(TEXT(_不良集計ゾーン別ADO[[#This Row],[番号]],"@"),TEXT(_番号ADO[番号],"@"),_番号ADO[発生],"",0,1)</f>
        <v>成形</v>
      </c>
      <c r="N167" s="1" t="str">
        <f>_xlfn.IFS(MID(_不良集計ゾーン別ADO[[#This Row],[品番]],3,2)="Fr","Fr",MID(_不良集計ゾーン別ADO[[#This Row],[品番]],3,2)="Rr","Rr",TRUE,"")</f>
        <v>Fr</v>
      </c>
      <c r="O167" s="1" t="str">
        <f>IF(ISBLANK(_不良集計ゾーン別ADO[[#This Row],[品番]]),"",RIGHT(_不良集計ゾーン別ADO[[#This Row],[品番]],2))</f>
        <v>LH</v>
      </c>
      <c r="P167" s="1" t="str">
        <f>_xlfn.IFS(LEFT(_不良集計ゾーン別ADO[[#This Row],[品番]],2)="アル","アルヴェル",LEFT(_不良集計ゾーン別ADO[[#This Row],[品番]],2)="ノア","ノアヴォク",TRUE,"")</f>
        <v>ノアヴォク</v>
      </c>
      <c r="U167" s="1"/>
    </row>
    <row r="168" spans="1:21" x14ac:dyDescent="0.45">
      <c r="A168">
        <v>164</v>
      </c>
      <c r="B168" s="16">
        <v>46036</v>
      </c>
      <c r="C168" s="1" t="s">
        <v>41</v>
      </c>
      <c r="D168" s="1" t="s">
        <v>103</v>
      </c>
      <c r="E168" s="1" t="s">
        <v>36</v>
      </c>
      <c r="F168" s="1" t="s">
        <v>0</v>
      </c>
      <c r="G168" s="1" t="s">
        <v>52</v>
      </c>
      <c r="H168" s="1">
        <v>1</v>
      </c>
      <c r="I168">
        <v>0</v>
      </c>
      <c r="J168" s="1" t="str" cm="1">
        <f t="array" ref="J168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168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168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168" s="1" t="str" cm="1">
        <f t="array" ref="M168">_xlfn.XLOOKUP(TEXT(_不良集計ゾーン別ADO[[#This Row],[番号]],"@"),TEXT(_番号ADO[番号],"@"),_番号ADO[発生],"",0,1)</f>
        <v>成形</v>
      </c>
      <c r="N168" s="1" t="str">
        <f>_xlfn.IFS(MID(_不良集計ゾーン別ADO[[#This Row],[品番]],3,2)="Fr","Fr",MID(_不良集計ゾーン別ADO[[#This Row],[品番]],3,2)="Rr","Rr",TRUE,"")</f>
        <v>Fr</v>
      </c>
      <c r="O168" s="1" t="str">
        <f>IF(ISBLANK(_不良集計ゾーン別ADO[[#This Row],[品番]]),"",RIGHT(_不良集計ゾーン別ADO[[#This Row],[品番]],2))</f>
        <v>RH</v>
      </c>
      <c r="P168" s="1" t="str">
        <f>_xlfn.IFS(LEFT(_不良集計ゾーン別ADO[[#This Row],[品番]],2)="アル","アルヴェル",LEFT(_不良集計ゾーン別ADO[[#This Row],[品番]],2)="ノア","ノアヴォク",TRUE,"")</f>
        <v>ノアヴォク</v>
      </c>
      <c r="U168" s="1"/>
    </row>
    <row r="169" spans="1:21" x14ac:dyDescent="0.45">
      <c r="A169">
        <v>165</v>
      </c>
      <c r="B169" s="16">
        <v>46036</v>
      </c>
      <c r="C169" s="1" t="s">
        <v>41</v>
      </c>
      <c r="D169" s="1" t="s">
        <v>103</v>
      </c>
      <c r="E169" s="1" t="s">
        <v>36</v>
      </c>
      <c r="F169" s="1" t="s">
        <v>1</v>
      </c>
      <c r="G169" s="1" t="s">
        <v>52</v>
      </c>
      <c r="H169" s="1">
        <v>1</v>
      </c>
      <c r="I169">
        <v>0</v>
      </c>
      <c r="J169" s="1" t="str" cm="1">
        <f t="array" ref="J169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169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169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169" s="1" t="str" cm="1">
        <f t="array" ref="M169">_xlfn.XLOOKUP(TEXT(_不良集計ゾーン別ADO[[#This Row],[番号]],"@"),TEXT(_番号ADO[番号],"@"),_番号ADO[発生],"",0,1)</f>
        <v>成形</v>
      </c>
      <c r="N169" s="1" t="str">
        <f>_xlfn.IFS(MID(_不良集計ゾーン別ADO[[#This Row],[品番]],3,2)="Fr","Fr",MID(_不良集計ゾーン別ADO[[#This Row],[品番]],3,2)="Rr","Rr",TRUE,"")</f>
        <v>Fr</v>
      </c>
      <c r="O169" s="1" t="str">
        <f>IF(ISBLANK(_不良集計ゾーン別ADO[[#This Row],[品番]]),"",RIGHT(_不良集計ゾーン別ADO[[#This Row],[品番]],2))</f>
        <v>RH</v>
      </c>
      <c r="P169" s="1" t="str">
        <f>_xlfn.IFS(LEFT(_不良集計ゾーン別ADO[[#This Row],[品番]],2)="アル","アルヴェル",LEFT(_不良集計ゾーン別ADO[[#This Row],[品番]],2)="ノア","ノアヴォク",TRUE,"")</f>
        <v>ノアヴォク</v>
      </c>
      <c r="U169" s="1"/>
    </row>
    <row r="170" spans="1:21" x14ac:dyDescent="0.45">
      <c r="A170">
        <v>166</v>
      </c>
      <c r="B170" s="16">
        <v>46036</v>
      </c>
      <c r="C170" s="1" t="s">
        <v>41</v>
      </c>
      <c r="D170" s="1" t="s">
        <v>103</v>
      </c>
      <c r="E170" s="1" t="s">
        <v>36</v>
      </c>
      <c r="F170" s="1" t="s">
        <v>2</v>
      </c>
      <c r="G170" s="1" t="s">
        <v>40</v>
      </c>
      <c r="H170" s="1">
        <v>1</v>
      </c>
      <c r="I170">
        <v>0</v>
      </c>
      <c r="J170" s="1" t="str" cm="1">
        <f t="array" ref="J170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塗料付着</v>
      </c>
      <c r="K170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塗料付着</v>
      </c>
      <c r="L170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170" s="1" t="str" cm="1">
        <f t="array" ref="M170">_xlfn.XLOOKUP(TEXT(_不良集計ゾーン別ADO[[#This Row],[番号]],"@"),TEXT(_番号ADO[番号],"@"),_番号ADO[発生],"",0,1)</f>
        <v>塗装</v>
      </c>
      <c r="N170" s="1" t="str">
        <f>_xlfn.IFS(MID(_不良集計ゾーン別ADO[[#This Row],[品番]],3,2)="Fr","Fr",MID(_不良集計ゾーン別ADO[[#This Row],[品番]],3,2)="Rr","Rr",TRUE,"")</f>
        <v>Fr</v>
      </c>
      <c r="O170" s="1" t="str">
        <f>IF(ISBLANK(_不良集計ゾーン別ADO[[#This Row],[品番]]),"",RIGHT(_不良集計ゾーン別ADO[[#This Row],[品番]],2))</f>
        <v>RH</v>
      </c>
      <c r="P170" s="1" t="str">
        <f>_xlfn.IFS(LEFT(_不良集計ゾーン別ADO[[#This Row],[品番]],2)="アル","アルヴェル",LEFT(_不良集計ゾーン別ADO[[#This Row],[品番]],2)="ノア","ノアヴォク",TRUE,"")</f>
        <v>ノアヴォク</v>
      </c>
      <c r="U170" s="1"/>
    </row>
    <row r="171" spans="1:21" x14ac:dyDescent="0.45">
      <c r="A171">
        <v>167</v>
      </c>
      <c r="B171" s="16">
        <v>46036</v>
      </c>
      <c r="C171" s="1" t="s">
        <v>42</v>
      </c>
      <c r="D171" s="1" t="s">
        <v>103</v>
      </c>
      <c r="E171" s="1" t="s">
        <v>36</v>
      </c>
      <c r="F171" s="1" t="s">
        <v>1</v>
      </c>
      <c r="G171" s="1" t="s">
        <v>40</v>
      </c>
      <c r="H171" s="1">
        <v>1</v>
      </c>
      <c r="I171">
        <v>0</v>
      </c>
      <c r="J171" s="1" t="str" cm="1">
        <f t="array" ref="J171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塗料付着</v>
      </c>
      <c r="K171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塗料付着</v>
      </c>
      <c r="L171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171" s="1" t="str" cm="1">
        <f t="array" ref="M171">_xlfn.XLOOKUP(TEXT(_不良集計ゾーン別ADO[[#This Row],[番号]],"@"),TEXT(_番号ADO[番号],"@"),_番号ADO[発生],"",0,1)</f>
        <v>塗装</v>
      </c>
      <c r="N171" s="1" t="str">
        <f>_xlfn.IFS(MID(_不良集計ゾーン別ADO[[#This Row],[品番]],3,2)="Fr","Fr",MID(_不良集計ゾーン別ADO[[#This Row],[品番]],3,2)="Rr","Rr",TRUE,"")</f>
        <v>Rr</v>
      </c>
      <c r="O171" s="1" t="str">
        <f>IF(ISBLANK(_不良集計ゾーン別ADO[[#This Row],[品番]]),"",RIGHT(_不良集計ゾーン別ADO[[#This Row],[品番]],2))</f>
        <v>LH</v>
      </c>
      <c r="P171" s="1" t="str">
        <f>_xlfn.IFS(LEFT(_不良集計ゾーン別ADO[[#This Row],[品番]],2)="アル","アルヴェル",LEFT(_不良集計ゾーン別ADO[[#This Row],[品番]],2)="ノア","ノアヴォク",TRUE,"")</f>
        <v>ノアヴォク</v>
      </c>
      <c r="U171" s="1"/>
    </row>
    <row r="172" spans="1:21" x14ac:dyDescent="0.45">
      <c r="A172">
        <v>168</v>
      </c>
      <c r="B172" s="16">
        <v>46036</v>
      </c>
      <c r="C172" s="1" t="s">
        <v>43</v>
      </c>
      <c r="D172" s="1" t="s">
        <v>103</v>
      </c>
      <c r="E172" s="1" t="s">
        <v>36</v>
      </c>
      <c r="F172" s="1" t="s">
        <v>4</v>
      </c>
      <c r="G172" s="1" t="s">
        <v>84</v>
      </c>
      <c r="H172" s="1">
        <v>1</v>
      </c>
      <c r="I172">
        <v>0</v>
      </c>
      <c r="J172" s="1" t="str" cm="1">
        <f t="array" ref="J172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プライマー</v>
      </c>
      <c r="K172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プライマー</v>
      </c>
      <c r="L172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172" s="1" t="str" cm="1">
        <f t="array" ref="M172">_xlfn.XLOOKUP(TEXT(_不良集計ゾーン別ADO[[#This Row],[番号]],"@"),TEXT(_番号ADO[番号],"@"),_番号ADO[発生],"",0,1)</f>
        <v>加工</v>
      </c>
      <c r="N172" s="1" t="str">
        <f>_xlfn.IFS(MID(_不良集計ゾーン別ADO[[#This Row],[品番]],3,2)="Fr","Fr",MID(_不良集計ゾーン別ADO[[#This Row],[品番]],3,2)="Rr","Rr",TRUE,"")</f>
        <v>Rr</v>
      </c>
      <c r="O172" s="1" t="str">
        <f>IF(ISBLANK(_不良集計ゾーン別ADO[[#This Row],[品番]]),"",RIGHT(_不良集計ゾーン別ADO[[#This Row],[品番]],2))</f>
        <v>RH</v>
      </c>
      <c r="P172" s="1" t="str">
        <f>_xlfn.IFS(LEFT(_不良集計ゾーン別ADO[[#This Row],[品番]],2)="アル","アルヴェル",LEFT(_不良集計ゾーン別ADO[[#This Row],[品番]],2)="ノア","ノアヴォク",TRUE,"")</f>
        <v>ノアヴォク</v>
      </c>
      <c r="U172" s="1"/>
    </row>
    <row r="173" spans="1:21" x14ac:dyDescent="0.45">
      <c r="A173">
        <v>169</v>
      </c>
      <c r="B173" s="16">
        <v>46036</v>
      </c>
      <c r="C173" s="1" t="s">
        <v>44</v>
      </c>
      <c r="D173" s="1" t="s">
        <v>196</v>
      </c>
      <c r="E173" s="1" t="s">
        <v>50</v>
      </c>
      <c r="F173" s="1" t="s">
        <v>0</v>
      </c>
      <c r="G173" s="1" t="s">
        <v>52</v>
      </c>
      <c r="H173" s="1">
        <v>1</v>
      </c>
      <c r="I173">
        <v>0</v>
      </c>
      <c r="J173" s="1" t="str" cm="1">
        <f t="array" ref="J173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173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173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モール</v>
      </c>
      <c r="M173" s="1" t="str" cm="1">
        <f t="array" ref="M173">_xlfn.XLOOKUP(TEXT(_不良集計ゾーン別ADO[[#This Row],[番号]],"@"),TEXT(_番号ADO[番号],"@"),_番号ADO[発生],"",0,1)</f>
        <v>成形</v>
      </c>
      <c r="N173" s="1" t="str">
        <f>_xlfn.IFS(MID(_不良集計ゾーン別ADO[[#This Row],[品番]],3,2)="Fr","Fr",MID(_不良集計ゾーン別ADO[[#This Row],[品番]],3,2)="Rr","Rr",TRUE,"")</f>
        <v>Fr</v>
      </c>
      <c r="O173" s="1" t="str">
        <f>IF(ISBLANK(_不良集計ゾーン別ADO[[#This Row],[品番]]),"",RIGHT(_不良集計ゾーン別ADO[[#This Row],[品番]],2))</f>
        <v>LH</v>
      </c>
      <c r="P173" s="1" t="str">
        <f>_xlfn.IFS(LEFT(_不良集計ゾーン別ADO[[#This Row],[品番]],2)="アル","アルヴェル",LEFT(_不良集計ゾーン別ADO[[#This Row],[品番]],2)="ノア","ノアヴォク",TRUE,"")</f>
        <v>アルヴェル</v>
      </c>
      <c r="U173" s="1"/>
    </row>
    <row r="174" spans="1:21" x14ac:dyDescent="0.45">
      <c r="A174">
        <v>170</v>
      </c>
      <c r="B174" s="16">
        <v>46036</v>
      </c>
      <c r="C174" s="1" t="s">
        <v>46</v>
      </c>
      <c r="D174" s="1" t="s">
        <v>196</v>
      </c>
      <c r="E174" s="1" t="s">
        <v>50</v>
      </c>
      <c r="F174" s="1" t="s">
        <v>2</v>
      </c>
      <c r="G174" s="1" t="s">
        <v>40</v>
      </c>
      <c r="H174" s="1">
        <v>1</v>
      </c>
      <c r="I174">
        <v>0</v>
      </c>
      <c r="J174" s="1" t="str" cm="1">
        <f t="array" ref="J174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塗料付着</v>
      </c>
      <c r="K174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塗料付着</v>
      </c>
      <c r="L174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モール</v>
      </c>
      <c r="M174" s="1" t="str" cm="1">
        <f t="array" ref="M174">_xlfn.XLOOKUP(TEXT(_不良集計ゾーン別ADO[[#This Row],[番号]],"@"),TEXT(_番号ADO[番号],"@"),_番号ADO[発生],"",0,1)</f>
        <v>塗装</v>
      </c>
      <c r="N174" s="1" t="str">
        <f>_xlfn.IFS(MID(_不良集計ゾーン別ADO[[#This Row],[品番]],3,2)="Fr","Fr",MID(_不良集計ゾーン別ADO[[#This Row],[品番]],3,2)="Rr","Rr",TRUE,"")</f>
        <v>Rr</v>
      </c>
      <c r="O174" s="1" t="str">
        <f>IF(ISBLANK(_不良集計ゾーン別ADO[[#This Row],[品番]]),"",RIGHT(_不良集計ゾーン別ADO[[#This Row],[品番]],2))</f>
        <v>LH</v>
      </c>
      <c r="P174" s="1" t="str">
        <f>_xlfn.IFS(LEFT(_不良集計ゾーン別ADO[[#This Row],[品番]],2)="アル","アルヴェル",LEFT(_不良集計ゾーン別ADO[[#This Row],[品番]],2)="ノア","ノアヴォク",TRUE,"")</f>
        <v>アルヴェル</v>
      </c>
      <c r="U174" s="1"/>
    </row>
    <row r="175" spans="1:21" x14ac:dyDescent="0.45">
      <c r="A175">
        <v>171</v>
      </c>
      <c r="B175" s="16">
        <v>46036</v>
      </c>
      <c r="C175" s="1" t="s">
        <v>49</v>
      </c>
      <c r="D175" s="1" t="s">
        <v>196</v>
      </c>
      <c r="E175" s="1" t="s">
        <v>50</v>
      </c>
      <c r="F175" s="1" t="s">
        <v>1</v>
      </c>
      <c r="G175" s="1" t="s">
        <v>39</v>
      </c>
      <c r="H175" s="1">
        <v>1</v>
      </c>
      <c r="I175">
        <v>1</v>
      </c>
      <c r="J175" s="1" t="str" cm="1">
        <f t="array" ref="J175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ピンホール</v>
      </c>
      <c r="K175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ピンホール</v>
      </c>
      <c r="L175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モール</v>
      </c>
      <c r="M175" s="1" t="str" cm="1">
        <f t="array" ref="M175">_xlfn.XLOOKUP(TEXT(_不良集計ゾーン別ADO[[#This Row],[番号]],"@"),TEXT(_番号ADO[番号],"@"),_番号ADO[発生],"",0,1)</f>
        <v>塗装</v>
      </c>
      <c r="N175" s="1" t="str">
        <f>_xlfn.IFS(MID(_不良集計ゾーン別ADO[[#This Row],[品番]],3,2)="Fr","Fr",MID(_不良集計ゾーン別ADO[[#This Row],[品番]],3,2)="Rr","Rr",TRUE,"")</f>
        <v>Rr</v>
      </c>
      <c r="O175" s="1" t="str">
        <f>IF(ISBLANK(_不良集計ゾーン別ADO[[#This Row],[品番]]),"",RIGHT(_不良集計ゾーン別ADO[[#This Row],[品番]],2))</f>
        <v>RH</v>
      </c>
      <c r="P175" s="1" t="str">
        <f>_xlfn.IFS(LEFT(_不良集計ゾーン別ADO[[#This Row],[品番]],2)="アル","アルヴェル",LEFT(_不良集計ゾーン別ADO[[#This Row],[品番]],2)="ノア","ノアヴォク",TRUE,"")</f>
        <v>アルヴェル</v>
      </c>
      <c r="U175" s="1"/>
    </row>
    <row r="176" spans="1:21" x14ac:dyDescent="0.45">
      <c r="A176">
        <v>172</v>
      </c>
      <c r="B176" s="16">
        <v>46037</v>
      </c>
      <c r="C176" s="1" t="s">
        <v>54</v>
      </c>
      <c r="D176" s="1" t="s">
        <v>196</v>
      </c>
      <c r="E176" s="1" t="s">
        <v>36</v>
      </c>
      <c r="F176" s="1" t="s">
        <v>3</v>
      </c>
      <c r="G176" s="1" t="s">
        <v>84</v>
      </c>
      <c r="H176" s="1">
        <v>1</v>
      </c>
      <c r="I176">
        <v>0</v>
      </c>
      <c r="J176" s="1" t="str" cm="1">
        <f t="array" ref="J176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プライマー</v>
      </c>
      <c r="K176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プライマー</v>
      </c>
      <c r="L176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176" s="1" t="str" cm="1">
        <f t="array" ref="M176">_xlfn.XLOOKUP(TEXT(_不良集計ゾーン別ADO[[#This Row],[番号]],"@"),TEXT(_番号ADO[番号],"@"),_番号ADO[発生],"",0,1)</f>
        <v>加工</v>
      </c>
      <c r="N176" s="1" t="str">
        <f>_xlfn.IFS(MID(_不良集計ゾーン別ADO[[#This Row],[品番]],3,2)="Fr","Fr",MID(_不良集計ゾーン別ADO[[#This Row],[品番]],3,2)="Rr","Rr",TRUE,"")</f>
        <v>Fr</v>
      </c>
      <c r="O176" s="1" t="str">
        <f>IF(ISBLANK(_不良集計ゾーン別ADO[[#This Row],[品番]]),"",RIGHT(_不良集計ゾーン別ADO[[#This Row],[品番]],2))</f>
        <v>RH</v>
      </c>
      <c r="P176" s="1" t="str">
        <f>_xlfn.IFS(LEFT(_不良集計ゾーン別ADO[[#This Row],[品番]],2)="アル","アルヴェル",LEFT(_不良集計ゾーン別ADO[[#This Row],[品番]],2)="ノア","ノアヴォク",TRUE,"")</f>
        <v>アルヴェル</v>
      </c>
      <c r="U176" s="1"/>
    </row>
    <row r="177" spans="1:21" x14ac:dyDescent="0.45">
      <c r="A177">
        <v>173</v>
      </c>
      <c r="B177" s="16">
        <v>46037</v>
      </c>
      <c r="C177" s="1" t="s">
        <v>42</v>
      </c>
      <c r="D177" s="1" t="s">
        <v>45</v>
      </c>
      <c r="E177" s="1" t="s">
        <v>36</v>
      </c>
      <c r="F177" s="1" t="s">
        <v>4</v>
      </c>
      <c r="G177" s="1" t="s">
        <v>40</v>
      </c>
      <c r="H177" s="1">
        <v>1</v>
      </c>
      <c r="I177">
        <v>0</v>
      </c>
      <c r="J177" s="1" t="str" cm="1">
        <f t="array" ref="J177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塗料付着</v>
      </c>
      <c r="K177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塗料付着</v>
      </c>
      <c r="L177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177" s="1" t="str" cm="1">
        <f t="array" ref="M177">_xlfn.XLOOKUP(TEXT(_不良集計ゾーン別ADO[[#This Row],[番号]],"@"),TEXT(_番号ADO[番号],"@"),_番号ADO[発生],"",0,1)</f>
        <v>塗装</v>
      </c>
      <c r="N177" s="1" t="str">
        <f>_xlfn.IFS(MID(_不良集計ゾーン別ADO[[#This Row],[品番]],3,2)="Fr","Fr",MID(_不良集計ゾーン別ADO[[#This Row],[品番]],3,2)="Rr","Rr",TRUE,"")</f>
        <v>Rr</v>
      </c>
      <c r="O177" s="1" t="str">
        <f>IF(ISBLANK(_不良集計ゾーン別ADO[[#This Row],[品番]]),"",RIGHT(_不良集計ゾーン別ADO[[#This Row],[品番]],2))</f>
        <v>LH</v>
      </c>
      <c r="P177" s="1" t="str">
        <f>_xlfn.IFS(LEFT(_不良集計ゾーン別ADO[[#This Row],[品番]],2)="アル","アルヴェル",LEFT(_不良集計ゾーン別ADO[[#This Row],[品番]],2)="ノア","ノアヴォク",TRUE,"")</f>
        <v>ノアヴォク</v>
      </c>
      <c r="U177" s="1"/>
    </row>
    <row r="178" spans="1:21" x14ac:dyDescent="0.45">
      <c r="A178">
        <v>174</v>
      </c>
      <c r="B178" s="16">
        <v>46037</v>
      </c>
      <c r="C178" s="1" t="s">
        <v>42</v>
      </c>
      <c r="D178" s="1" t="s">
        <v>45</v>
      </c>
      <c r="E178" s="1" t="s">
        <v>36</v>
      </c>
      <c r="F178" s="1" t="s">
        <v>1</v>
      </c>
      <c r="G178" s="1" t="s">
        <v>40</v>
      </c>
      <c r="H178" s="1">
        <v>1</v>
      </c>
      <c r="I178">
        <v>0</v>
      </c>
      <c r="J178" s="1" t="str" cm="1">
        <f t="array" ref="J178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塗料付着</v>
      </c>
      <c r="K178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塗料付着</v>
      </c>
      <c r="L178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178" s="1" t="str" cm="1">
        <f t="array" ref="M178">_xlfn.XLOOKUP(TEXT(_不良集計ゾーン別ADO[[#This Row],[番号]],"@"),TEXT(_番号ADO[番号],"@"),_番号ADO[発生],"",0,1)</f>
        <v>塗装</v>
      </c>
      <c r="N178" s="1" t="str">
        <f>_xlfn.IFS(MID(_不良集計ゾーン別ADO[[#This Row],[品番]],3,2)="Fr","Fr",MID(_不良集計ゾーン別ADO[[#This Row],[品番]],3,2)="Rr","Rr",TRUE,"")</f>
        <v>Rr</v>
      </c>
      <c r="O178" s="1" t="str">
        <f>IF(ISBLANK(_不良集計ゾーン別ADO[[#This Row],[品番]]),"",RIGHT(_不良集計ゾーン別ADO[[#This Row],[品番]],2))</f>
        <v>LH</v>
      </c>
      <c r="P178" s="1" t="str">
        <f>_xlfn.IFS(LEFT(_不良集計ゾーン別ADO[[#This Row],[品番]],2)="アル","アルヴェル",LEFT(_不良集計ゾーン別ADO[[#This Row],[品番]],2)="ノア","ノアヴォク",TRUE,"")</f>
        <v>ノアヴォク</v>
      </c>
      <c r="U178" s="1"/>
    </row>
    <row r="179" spans="1:21" x14ac:dyDescent="0.45">
      <c r="A179">
        <v>175</v>
      </c>
      <c r="B179" s="16">
        <v>46037</v>
      </c>
      <c r="C179" s="1" t="s">
        <v>44</v>
      </c>
      <c r="D179" s="1" t="s">
        <v>201</v>
      </c>
      <c r="E179" s="1" t="s">
        <v>50</v>
      </c>
      <c r="F179" s="1" t="s">
        <v>2</v>
      </c>
      <c r="G179" s="1" t="s">
        <v>64</v>
      </c>
      <c r="H179" s="1">
        <v>1</v>
      </c>
      <c r="I179">
        <v>0</v>
      </c>
      <c r="J179" s="1" t="str" cm="1">
        <f t="array" ref="J179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ウエルド</v>
      </c>
      <c r="K179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ウエルド</v>
      </c>
      <c r="L179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モール</v>
      </c>
      <c r="M179" s="1" t="str" cm="1">
        <f t="array" ref="M179">_xlfn.XLOOKUP(TEXT(_不良集計ゾーン別ADO[[#This Row],[番号]],"@"),TEXT(_番号ADO[番号],"@"),_番号ADO[発生],"",0,1)</f>
        <v>成形</v>
      </c>
      <c r="N179" s="1" t="str">
        <f>_xlfn.IFS(MID(_不良集計ゾーン別ADO[[#This Row],[品番]],3,2)="Fr","Fr",MID(_不良集計ゾーン別ADO[[#This Row],[品番]],3,2)="Rr","Rr",TRUE,"")</f>
        <v>Fr</v>
      </c>
      <c r="O179" s="1" t="str">
        <f>IF(ISBLANK(_不良集計ゾーン別ADO[[#This Row],[品番]]),"",RIGHT(_不良集計ゾーン別ADO[[#This Row],[品番]],2))</f>
        <v>LH</v>
      </c>
      <c r="P179" s="1" t="str">
        <f>_xlfn.IFS(LEFT(_不良集計ゾーン別ADO[[#This Row],[品番]],2)="アル","アルヴェル",LEFT(_不良集計ゾーン別ADO[[#This Row],[品番]],2)="ノア","ノアヴォク",TRUE,"")</f>
        <v>アルヴェル</v>
      </c>
      <c r="U179" s="1"/>
    </row>
    <row r="180" spans="1:21" x14ac:dyDescent="0.45">
      <c r="A180">
        <v>176</v>
      </c>
      <c r="B180" s="16">
        <v>46037</v>
      </c>
      <c r="C180" s="1" t="s">
        <v>44</v>
      </c>
      <c r="D180" s="1" t="s">
        <v>201</v>
      </c>
      <c r="E180" s="1" t="s">
        <v>50</v>
      </c>
      <c r="F180" s="1" t="s">
        <v>1</v>
      </c>
      <c r="G180" s="1" t="s">
        <v>52</v>
      </c>
      <c r="H180" s="1">
        <v>1</v>
      </c>
      <c r="I180">
        <v>0</v>
      </c>
      <c r="J180" s="1" t="str" cm="1">
        <f t="array" ref="J180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180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180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モール</v>
      </c>
      <c r="M180" s="1" t="str" cm="1">
        <f t="array" ref="M180">_xlfn.XLOOKUP(TEXT(_不良集計ゾーン別ADO[[#This Row],[番号]],"@"),TEXT(_番号ADO[番号],"@"),_番号ADO[発生],"",0,1)</f>
        <v>成形</v>
      </c>
      <c r="N180" s="1" t="str">
        <f>_xlfn.IFS(MID(_不良集計ゾーン別ADO[[#This Row],[品番]],3,2)="Fr","Fr",MID(_不良集計ゾーン別ADO[[#This Row],[品番]],3,2)="Rr","Rr",TRUE,"")</f>
        <v>Fr</v>
      </c>
      <c r="O180" s="1" t="str">
        <f>IF(ISBLANK(_不良集計ゾーン別ADO[[#This Row],[品番]]),"",RIGHT(_不良集計ゾーン別ADO[[#This Row],[品番]],2))</f>
        <v>LH</v>
      </c>
      <c r="P180" s="1" t="str">
        <f>_xlfn.IFS(LEFT(_不良集計ゾーン別ADO[[#This Row],[品番]],2)="アル","アルヴェル",LEFT(_不良集計ゾーン別ADO[[#This Row],[品番]],2)="ノア","ノアヴォク",TRUE,"")</f>
        <v>アルヴェル</v>
      </c>
      <c r="U180" s="1"/>
    </row>
    <row r="181" spans="1:21" x14ac:dyDescent="0.45">
      <c r="A181">
        <v>177</v>
      </c>
      <c r="B181" s="16">
        <v>46037</v>
      </c>
      <c r="C181" s="1" t="s">
        <v>44</v>
      </c>
      <c r="D181" s="1" t="s">
        <v>201</v>
      </c>
      <c r="E181" s="1" t="s">
        <v>50</v>
      </c>
      <c r="F181" s="1" t="s">
        <v>0</v>
      </c>
      <c r="G181" s="1" t="s">
        <v>52</v>
      </c>
      <c r="H181" s="1">
        <v>1</v>
      </c>
      <c r="I181">
        <v>0</v>
      </c>
      <c r="J181" s="1" t="str" cm="1">
        <f t="array" ref="J181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181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181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モール</v>
      </c>
      <c r="M181" s="1" t="str" cm="1">
        <f t="array" ref="M181">_xlfn.XLOOKUP(TEXT(_不良集計ゾーン別ADO[[#This Row],[番号]],"@"),TEXT(_番号ADO[番号],"@"),_番号ADO[発生],"",0,1)</f>
        <v>成形</v>
      </c>
      <c r="N181" s="1" t="str">
        <f>_xlfn.IFS(MID(_不良集計ゾーン別ADO[[#This Row],[品番]],3,2)="Fr","Fr",MID(_不良集計ゾーン別ADO[[#This Row],[品番]],3,2)="Rr","Rr",TRUE,"")</f>
        <v>Fr</v>
      </c>
      <c r="O181" s="1" t="str">
        <f>IF(ISBLANK(_不良集計ゾーン別ADO[[#This Row],[品番]]),"",RIGHT(_不良集計ゾーン別ADO[[#This Row],[品番]],2))</f>
        <v>LH</v>
      </c>
      <c r="P181" s="1" t="str">
        <f>_xlfn.IFS(LEFT(_不良集計ゾーン別ADO[[#This Row],[品番]],2)="アル","アルヴェル",LEFT(_不良集計ゾーン別ADO[[#This Row],[品番]],2)="ノア","ノアヴォク",TRUE,"")</f>
        <v>アルヴェル</v>
      </c>
      <c r="U181" s="1"/>
    </row>
    <row r="182" spans="1:21" x14ac:dyDescent="0.45">
      <c r="A182">
        <v>178</v>
      </c>
      <c r="B182" s="16">
        <v>46037</v>
      </c>
      <c r="C182" s="1" t="s">
        <v>35</v>
      </c>
      <c r="D182" s="1" t="s">
        <v>47</v>
      </c>
      <c r="E182" s="1" t="s">
        <v>57</v>
      </c>
      <c r="F182" s="1" t="s">
        <v>2</v>
      </c>
      <c r="G182" s="1" t="s">
        <v>96</v>
      </c>
      <c r="H182" s="1">
        <v>3</v>
      </c>
      <c r="I182">
        <v>0</v>
      </c>
      <c r="J182" s="1" t="str" cm="1">
        <f t="array" ref="J182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打出し不良</v>
      </c>
      <c r="K182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打出し不良</v>
      </c>
      <c r="L182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182" s="1" t="str" cm="1">
        <f t="array" ref="M182">_xlfn.XLOOKUP(TEXT(_不良集計ゾーン別ADO[[#This Row],[番号]],"@"),TEXT(_番号ADO[番号],"@"),_番号ADO[発生],"",0,1)</f>
        <v>成形</v>
      </c>
      <c r="N182" s="1" t="str">
        <f>_xlfn.IFS(MID(_不良集計ゾーン別ADO[[#This Row],[品番]],3,2)="Fr","Fr",MID(_不良集計ゾーン別ADO[[#This Row],[品番]],3,2)="Rr","Rr",TRUE,"")</f>
        <v>Fr</v>
      </c>
      <c r="O182" s="1" t="str">
        <f>IF(ISBLANK(_不良集計ゾーン別ADO[[#This Row],[品番]]),"",RIGHT(_不良集計ゾーン別ADO[[#This Row],[品番]],2))</f>
        <v>LH</v>
      </c>
      <c r="P182" s="1" t="str">
        <f>_xlfn.IFS(LEFT(_不良集計ゾーン別ADO[[#This Row],[品番]],2)="アル","アルヴェル",LEFT(_不良集計ゾーン別ADO[[#This Row],[品番]],2)="ノア","ノアヴォク",TRUE,"")</f>
        <v>ノアヴォク</v>
      </c>
      <c r="U182" s="1"/>
    </row>
    <row r="183" spans="1:21" x14ac:dyDescent="0.45">
      <c r="A183">
        <v>179</v>
      </c>
      <c r="B183" s="16">
        <v>46037</v>
      </c>
      <c r="C183" s="1" t="s">
        <v>41</v>
      </c>
      <c r="D183" s="1" t="s">
        <v>47</v>
      </c>
      <c r="E183" s="1" t="s">
        <v>57</v>
      </c>
      <c r="F183" s="1" t="s">
        <v>2</v>
      </c>
      <c r="G183" s="1" t="s">
        <v>96</v>
      </c>
      <c r="H183" s="1">
        <v>3</v>
      </c>
      <c r="I183">
        <v>0</v>
      </c>
      <c r="J183" s="1" t="str" cm="1">
        <f t="array" ref="J183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打出し不良</v>
      </c>
      <c r="K183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打出し不良</v>
      </c>
      <c r="L183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183" s="1" t="str" cm="1">
        <f t="array" ref="M183">_xlfn.XLOOKUP(TEXT(_不良集計ゾーン別ADO[[#This Row],[番号]],"@"),TEXT(_番号ADO[番号],"@"),_番号ADO[発生],"",0,1)</f>
        <v>成形</v>
      </c>
      <c r="N183" s="1" t="str">
        <f>_xlfn.IFS(MID(_不良集計ゾーン別ADO[[#This Row],[品番]],3,2)="Fr","Fr",MID(_不良集計ゾーン別ADO[[#This Row],[品番]],3,2)="Rr","Rr",TRUE,"")</f>
        <v>Fr</v>
      </c>
      <c r="O183" s="1" t="str">
        <f>IF(ISBLANK(_不良集計ゾーン別ADO[[#This Row],[品番]]),"",RIGHT(_不良集計ゾーン別ADO[[#This Row],[品番]],2))</f>
        <v>RH</v>
      </c>
      <c r="P183" s="1" t="str">
        <f>_xlfn.IFS(LEFT(_不良集計ゾーン別ADO[[#This Row],[品番]],2)="アル","アルヴェル",LEFT(_不良集計ゾーン別ADO[[#This Row],[品番]],2)="ノア","ノアヴォク",TRUE,"")</f>
        <v>ノアヴォク</v>
      </c>
      <c r="U183" s="1"/>
    </row>
    <row r="184" spans="1:21" x14ac:dyDescent="0.45">
      <c r="A184">
        <v>180</v>
      </c>
      <c r="B184" s="16">
        <v>46037</v>
      </c>
      <c r="C184" s="1" t="s">
        <v>41</v>
      </c>
      <c r="D184" s="1" t="s">
        <v>47</v>
      </c>
      <c r="E184" s="1" t="s">
        <v>57</v>
      </c>
      <c r="F184" s="1" t="s">
        <v>2</v>
      </c>
      <c r="G184" s="1" t="s">
        <v>52</v>
      </c>
      <c r="H184" s="1">
        <v>1</v>
      </c>
      <c r="I184">
        <v>0</v>
      </c>
      <c r="J184" s="1" t="str" cm="1">
        <f t="array" ref="J184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184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184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184" s="1" t="str" cm="1">
        <f t="array" ref="M184">_xlfn.XLOOKUP(TEXT(_不良集計ゾーン別ADO[[#This Row],[番号]],"@"),TEXT(_番号ADO[番号],"@"),_番号ADO[発生],"",0,1)</f>
        <v>成形</v>
      </c>
      <c r="N184" s="1" t="str">
        <f>_xlfn.IFS(MID(_不良集計ゾーン別ADO[[#This Row],[品番]],3,2)="Fr","Fr",MID(_不良集計ゾーン別ADO[[#This Row],[品番]],3,2)="Rr","Rr",TRUE,"")</f>
        <v>Fr</v>
      </c>
      <c r="O184" s="1" t="str">
        <f>IF(ISBLANK(_不良集計ゾーン別ADO[[#This Row],[品番]]),"",RIGHT(_不良集計ゾーン別ADO[[#This Row],[品番]],2))</f>
        <v>RH</v>
      </c>
      <c r="P184" s="1" t="str">
        <f>_xlfn.IFS(LEFT(_不良集計ゾーン別ADO[[#This Row],[品番]],2)="アル","アルヴェル",LEFT(_不良集計ゾーン別ADO[[#This Row],[品番]],2)="ノア","ノアヴォク",TRUE,"")</f>
        <v>ノアヴォク</v>
      </c>
      <c r="U184" s="1"/>
    </row>
    <row r="185" spans="1:21" x14ac:dyDescent="0.45">
      <c r="A185">
        <v>183</v>
      </c>
      <c r="B185" s="16">
        <v>46041</v>
      </c>
      <c r="C185" s="1" t="s">
        <v>44</v>
      </c>
      <c r="D185" s="1" t="s">
        <v>197</v>
      </c>
      <c r="E185" s="1" t="s">
        <v>57</v>
      </c>
      <c r="F185" s="1" t="s">
        <v>2</v>
      </c>
      <c r="G185" s="1" t="s">
        <v>96</v>
      </c>
      <c r="H185" s="1">
        <v>6</v>
      </c>
      <c r="I185">
        <v>0</v>
      </c>
      <c r="J185" s="1" t="str" cm="1">
        <f t="array" ref="J185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打出し不良</v>
      </c>
      <c r="K185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打出し不良</v>
      </c>
      <c r="L185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185" s="1" t="str" cm="1">
        <f t="array" ref="M185">_xlfn.XLOOKUP(TEXT(_不良集計ゾーン別ADO[[#This Row],[番号]],"@"),TEXT(_番号ADO[番号],"@"),_番号ADO[発生],"",0,1)</f>
        <v>成形</v>
      </c>
      <c r="N185" s="1" t="str">
        <f>_xlfn.IFS(MID(_不良集計ゾーン別ADO[[#This Row],[品番]],3,2)="Fr","Fr",MID(_不良集計ゾーン別ADO[[#This Row],[品番]],3,2)="Rr","Rr",TRUE,"")</f>
        <v>Fr</v>
      </c>
      <c r="O185" s="1" t="str">
        <f>IF(ISBLANK(_不良集計ゾーン別ADO[[#This Row],[品番]]),"",RIGHT(_不良集計ゾーン別ADO[[#This Row],[品番]],2))</f>
        <v>LH</v>
      </c>
      <c r="P185" s="1" t="str">
        <f>_xlfn.IFS(LEFT(_不良集計ゾーン別ADO[[#This Row],[品番]],2)="アル","アルヴェル",LEFT(_不良集計ゾーン別ADO[[#This Row],[品番]],2)="ノア","ノアヴォク",TRUE,"")</f>
        <v>アルヴェル</v>
      </c>
      <c r="U185" s="1"/>
    </row>
    <row r="186" spans="1:21" x14ac:dyDescent="0.45">
      <c r="A186">
        <v>184</v>
      </c>
      <c r="B186" s="16">
        <v>46041</v>
      </c>
      <c r="C186" s="1" t="s">
        <v>54</v>
      </c>
      <c r="D186" s="1" t="s">
        <v>197</v>
      </c>
      <c r="E186" s="1" t="s">
        <v>57</v>
      </c>
      <c r="F186" s="1" t="s">
        <v>2</v>
      </c>
      <c r="G186" s="1" t="s">
        <v>96</v>
      </c>
      <c r="H186" s="1">
        <v>6</v>
      </c>
      <c r="I186">
        <v>0</v>
      </c>
      <c r="J186" s="1" t="str" cm="1">
        <f t="array" ref="J186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打出し不良</v>
      </c>
      <c r="K186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打出し不良</v>
      </c>
      <c r="L186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186" s="1" t="str" cm="1">
        <f t="array" ref="M186">_xlfn.XLOOKUP(TEXT(_不良集計ゾーン別ADO[[#This Row],[番号]],"@"),TEXT(_番号ADO[番号],"@"),_番号ADO[発生],"",0,1)</f>
        <v>成形</v>
      </c>
      <c r="N186" s="1" t="str">
        <f>_xlfn.IFS(MID(_不良集計ゾーン別ADO[[#This Row],[品番]],3,2)="Fr","Fr",MID(_不良集計ゾーン別ADO[[#This Row],[品番]],3,2)="Rr","Rr",TRUE,"")</f>
        <v>Fr</v>
      </c>
      <c r="O186" s="1" t="str">
        <f>IF(ISBLANK(_不良集計ゾーン別ADO[[#This Row],[品番]]),"",RIGHT(_不良集計ゾーン別ADO[[#This Row],[品番]],2))</f>
        <v>RH</v>
      </c>
      <c r="P186" s="1" t="str">
        <f>_xlfn.IFS(LEFT(_不良集計ゾーン別ADO[[#This Row],[品番]],2)="アル","アルヴェル",LEFT(_不良集計ゾーン別ADO[[#This Row],[品番]],2)="ノア","ノアヴォク",TRUE,"")</f>
        <v>アルヴェル</v>
      </c>
      <c r="U186" s="1"/>
    </row>
    <row r="187" spans="1:21" x14ac:dyDescent="0.45">
      <c r="A187">
        <v>185</v>
      </c>
      <c r="B187" s="16">
        <v>46041</v>
      </c>
      <c r="C187" s="1" t="s">
        <v>54</v>
      </c>
      <c r="D187" s="1" t="s">
        <v>197</v>
      </c>
      <c r="E187" s="1" t="s">
        <v>57</v>
      </c>
      <c r="F187" s="1" t="s">
        <v>2</v>
      </c>
      <c r="G187" s="1" t="s">
        <v>82</v>
      </c>
      <c r="H187" s="1">
        <v>34</v>
      </c>
      <c r="I187">
        <v>0</v>
      </c>
      <c r="J187" s="1" t="str" cm="1">
        <f t="array" ref="J187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ヒケ</v>
      </c>
      <c r="K187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ヒケ</v>
      </c>
      <c r="L187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187" s="1" t="str" cm="1">
        <f t="array" ref="M187">_xlfn.XLOOKUP(TEXT(_不良集計ゾーン別ADO[[#This Row],[番号]],"@"),TEXT(_番号ADO[番号],"@"),_番号ADO[発生],"",0,1)</f>
        <v>成形</v>
      </c>
      <c r="N187" s="1" t="str">
        <f>_xlfn.IFS(MID(_不良集計ゾーン別ADO[[#This Row],[品番]],3,2)="Fr","Fr",MID(_不良集計ゾーン別ADO[[#This Row],[品番]],3,2)="Rr","Rr",TRUE,"")</f>
        <v>Fr</v>
      </c>
      <c r="O187" s="1" t="str">
        <f>IF(ISBLANK(_不良集計ゾーン別ADO[[#This Row],[品番]]),"",RIGHT(_不良集計ゾーン別ADO[[#This Row],[品番]],2))</f>
        <v>RH</v>
      </c>
      <c r="P187" s="1" t="str">
        <f>_xlfn.IFS(LEFT(_不良集計ゾーン別ADO[[#This Row],[品番]],2)="アル","アルヴェル",LEFT(_不良集計ゾーン別ADO[[#This Row],[品番]],2)="ノア","ノアヴォク",TRUE,"")</f>
        <v>アルヴェル</v>
      </c>
      <c r="U187" s="1"/>
    </row>
    <row r="188" spans="1:21" x14ac:dyDescent="0.45">
      <c r="A188">
        <v>186</v>
      </c>
      <c r="B188" s="16">
        <v>46041</v>
      </c>
      <c r="C188" s="1" t="s">
        <v>46</v>
      </c>
      <c r="D188" s="1" t="s">
        <v>197</v>
      </c>
      <c r="E188" s="1" t="s">
        <v>57</v>
      </c>
      <c r="F188" s="1" t="s">
        <v>4</v>
      </c>
      <c r="G188" s="1" t="s">
        <v>52</v>
      </c>
      <c r="H188" s="1">
        <v>2</v>
      </c>
      <c r="I188">
        <v>0</v>
      </c>
      <c r="J188" s="1" t="str" cm="1">
        <f t="array" ref="J188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188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188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188" s="1" t="str" cm="1">
        <f t="array" ref="M188">_xlfn.XLOOKUP(TEXT(_不良集計ゾーン別ADO[[#This Row],[番号]],"@"),TEXT(_番号ADO[番号],"@"),_番号ADO[発生],"",0,1)</f>
        <v>成形</v>
      </c>
      <c r="N188" s="1" t="str">
        <f>_xlfn.IFS(MID(_不良集計ゾーン別ADO[[#This Row],[品番]],3,2)="Fr","Fr",MID(_不良集計ゾーン別ADO[[#This Row],[品番]],3,2)="Rr","Rr",TRUE,"")</f>
        <v>Rr</v>
      </c>
      <c r="O188" s="1" t="str">
        <f>IF(ISBLANK(_不良集計ゾーン別ADO[[#This Row],[品番]]),"",RIGHT(_不良集計ゾーン別ADO[[#This Row],[品番]],2))</f>
        <v>LH</v>
      </c>
      <c r="P188" s="1" t="str">
        <f>_xlfn.IFS(LEFT(_不良集計ゾーン別ADO[[#This Row],[品番]],2)="アル","アルヴェル",LEFT(_不良集計ゾーン別ADO[[#This Row],[品番]],2)="ノア","ノアヴォク",TRUE,"")</f>
        <v>アルヴェル</v>
      </c>
      <c r="U188" s="1"/>
    </row>
    <row r="189" spans="1:21" x14ac:dyDescent="0.45">
      <c r="A189">
        <v>187</v>
      </c>
      <c r="B189" s="16">
        <v>46041</v>
      </c>
      <c r="C189" s="1" t="s">
        <v>46</v>
      </c>
      <c r="D189" s="1" t="s">
        <v>197</v>
      </c>
      <c r="E189" s="1" t="s">
        <v>57</v>
      </c>
      <c r="F189" s="1" t="s">
        <v>2</v>
      </c>
      <c r="G189" s="1" t="s">
        <v>52</v>
      </c>
      <c r="H189" s="1">
        <v>1</v>
      </c>
      <c r="I189">
        <v>0</v>
      </c>
      <c r="J189" s="1" t="str" cm="1">
        <f t="array" ref="J189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189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189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189" s="1" t="str" cm="1">
        <f t="array" ref="M189">_xlfn.XLOOKUP(TEXT(_不良集計ゾーン別ADO[[#This Row],[番号]],"@"),TEXT(_番号ADO[番号],"@"),_番号ADO[発生],"",0,1)</f>
        <v>成形</v>
      </c>
      <c r="N189" s="1" t="str">
        <f>_xlfn.IFS(MID(_不良集計ゾーン別ADO[[#This Row],[品番]],3,2)="Fr","Fr",MID(_不良集計ゾーン別ADO[[#This Row],[品番]],3,2)="Rr","Rr",TRUE,"")</f>
        <v>Rr</v>
      </c>
      <c r="O189" s="1" t="str">
        <f>IF(ISBLANK(_不良集計ゾーン別ADO[[#This Row],[品番]]),"",RIGHT(_不良集計ゾーン別ADO[[#This Row],[品番]],2))</f>
        <v>LH</v>
      </c>
      <c r="P189" s="1" t="str">
        <f>_xlfn.IFS(LEFT(_不良集計ゾーン別ADO[[#This Row],[品番]],2)="アル","アルヴェル",LEFT(_不良集計ゾーン別ADO[[#This Row],[品番]],2)="ノア","ノアヴォク",TRUE,"")</f>
        <v>アルヴェル</v>
      </c>
      <c r="U189" s="1"/>
    </row>
    <row r="190" spans="1:21" x14ac:dyDescent="0.45">
      <c r="A190">
        <v>188</v>
      </c>
      <c r="B190" s="16">
        <v>46041</v>
      </c>
      <c r="C190" s="1" t="s">
        <v>49</v>
      </c>
      <c r="D190" s="1" t="s">
        <v>197</v>
      </c>
      <c r="E190" s="1" t="s">
        <v>57</v>
      </c>
      <c r="F190" s="1" t="s">
        <v>4</v>
      </c>
      <c r="G190" s="1" t="s">
        <v>52</v>
      </c>
      <c r="H190" s="1">
        <v>1</v>
      </c>
      <c r="I190">
        <v>0</v>
      </c>
      <c r="J190" s="1" t="str" cm="1">
        <f t="array" ref="J190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190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190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190" s="1" t="str" cm="1">
        <f t="array" ref="M190">_xlfn.XLOOKUP(TEXT(_不良集計ゾーン別ADO[[#This Row],[番号]],"@"),TEXT(_番号ADO[番号],"@"),_番号ADO[発生],"",0,1)</f>
        <v>成形</v>
      </c>
      <c r="N190" s="1" t="str">
        <f>_xlfn.IFS(MID(_不良集計ゾーン別ADO[[#This Row],[品番]],3,2)="Fr","Fr",MID(_不良集計ゾーン別ADO[[#This Row],[品番]],3,2)="Rr","Rr",TRUE,"")</f>
        <v>Rr</v>
      </c>
      <c r="O190" s="1" t="str">
        <f>IF(ISBLANK(_不良集計ゾーン別ADO[[#This Row],[品番]]),"",RIGHT(_不良集計ゾーン別ADO[[#This Row],[品番]],2))</f>
        <v>RH</v>
      </c>
      <c r="P190" s="1" t="str">
        <f>_xlfn.IFS(LEFT(_不良集計ゾーン別ADO[[#This Row],[品番]],2)="アル","アルヴェル",LEFT(_不良集計ゾーン別ADO[[#This Row],[品番]],2)="ノア","ノアヴォク",TRUE,"")</f>
        <v>アルヴェル</v>
      </c>
      <c r="U190" s="1"/>
    </row>
    <row r="191" spans="1:21" x14ac:dyDescent="0.45">
      <c r="A191">
        <v>189</v>
      </c>
      <c r="B191" s="16">
        <v>46043</v>
      </c>
      <c r="C191" s="1" t="s">
        <v>44</v>
      </c>
      <c r="D191" s="1" t="s">
        <v>104</v>
      </c>
      <c r="E191" s="1" t="s">
        <v>57</v>
      </c>
      <c r="F191" s="1" t="s">
        <v>2</v>
      </c>
      <c r="G191" s="1" t="s">
        <v>96</v>
      </c>
      <c r="H191" s="1">
        <v>3</v>
      </c>
      <c r="I191">
        <v>0</v>
      </c>
      <c r="J191" s="1" t="str" cm="1">
        <f t="array" ref="J191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打出し不良</v>
      </c>
      <c r="K191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打出し不良</v>
      </c>
      <c r="L191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191" s="1" t="str" cm="1">
        <f t="array" ref="M191">_xlfn.XLOOKUP(TEXT(_不良集計ゾーン別ADO[[#This Row],[番号]],"@"),TEXT(_番号ADO[番号],"@"),_番号ADO[発生],"",0,1)</f>
        <v>成形</v>
      </c>
      <c r="N191" s="1" t="str">
        <f>_xlfn.IFS(MID(_不良集計ゾーン別ADO[[#This Row],[品番]],3,2)="Fr","Fr",MID(_不良集計ゾーン別ADO[[#This Row],[品番]],3,2)="Rr","Rr",TRUE,"")</f>
        <v>Fr</v>
      </c>
      <c r="O191" s="1" t="str">
        <f>IF(ISBLANK(_不良集計ゾーン別ADO[[#This Row],[品番]]),"",RIGHT(_不良集計ゾーン別ADO[[#This Row],[品番]],2))</f>
        <v>LH</v>
      </c>
      <c r="P191" s="1" t="str">
        <f>_xlfn.IFS(LEFT(_不良集計ゾーン別ADO[[#This Row],[品番]],2)="アル","アルヴェル",LEFT(_不良集計ゾーン別ADO[[#This Row],[品番]],2)="ノア","ノアヴォク",TRUE,"")</f>
        <v>アルヴェル</v>
      </c>
      <c r="U191" s="1"/>
    </row>
    <row r="192" spans="1:21" x14ac:dyDescent="0.45">
      <c r="A192">
        <v>190</v>
      </c>
      <c r="B192" s="16">
        <v>46043</v>
      </c>
      <c r="C192" s="1" t="s">
        <v>44</v>
      </c>
      <c r="D192" s="1" t="s">
        <v>104</v>
      </c>
      <c r="E192" s="1" t="s">
        <v>57</v>
      </c>
      <c r="F192" s="1" t="s">
        <v>2</v>
      </c>
      <c r="G192" s="1" t="s">
        <v>82</v>
      </c>
      <c r="H192" s="1">
        <v>20</v>
      </c>
      <c r="I192">
        <v>0</v>
      </c>
      <c r="J192" s="1" t="str" cm="1">
        <f t="array" ref="J192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ヒケ</v>
      </c>
      <c r="K192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ヒケ</v>
      </c>
      <c r="L192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192" s="1" t="str" cm="1">
        <f t="array" ref="M192">_xlfn.XLOOKUP(TEXT(_不良集計ゾーン別ADO[[#This Row],[番号]],"@"),TEXT(_番号ADO[番号],"@"),_番号ADO[発生],"",0,1)</f>
        <v>成形</v>
      </c>
      <c r="N192" s="1" t="str">
        <f>_xlfn.IFS(MID(_不良集計ゾーン別ADO[[#This Row],[品番]],3,2)="Fr","Fr",MID(_不良集計ゾーン別ADO[[#This Row],[品番]],3,2)="Rr","Rr",TRUE,"")</f>
        <v>Fr</v>
      </c>
      <c r="O192" s="1" t="str">
        <f>IF(ISBLANK(_不良集計ゾーン別ADO[[#This Row],[品番]]),"",RIGHT(_不良集計ゾーン別ADO[[#This Row],[品番]],2))</f>
        <v>LH</v>
      </c>
      <c r="P192" s="1" t="str">
        <f>_xlfn.IFS(LEFT(_不良集計ゾーン別ADO[[#This Row],[品番]],2)="アル","アルヴェル",LEFT(_不良集計ゾーン別ADO[[#This Row],[品番]],2)="ノア","ノアヴォク",TRUE,"")</f>
        <v>アルヴェル</v>
      </c>
      <c r="U192" s="1"/>
    </row>
    <row r="193" spans="1:21" x14ac:dyDescent="0.45">
      <c r="A193">
        <v>191</v>
      </c>
      <c r="B193" s="16">
        <v>46043</v>
      </c>
      <c r="C193" s="1" t="s">
        <v>54</v>
      </c>
      <c r="D193" s="1" t="s">
        <v>104</v>
      </c>
      <c r="E193" s="1" t="s">
        <v>57</v>
      </c>
      <c r="F193" s="1" t="s">
        <v>2</v>
      </c>
      <c r="G193" s="1" t="s">
        <v>96</v>
      </c>
      <c r="H193" s="1">
        <v>3</v>
      </c>
      <c r="I193">
        <v>0</v>
      </c>
      <c r="J193" s="1" t="str" cm="1">
        <f t="array" ref="J193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打出し不良</v>
      </c>
      <c r="K193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打出し不良</v>
      </c>
      <c r="L193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193" s="1" t="str" cm="1">
        <f t="array" ref="M193">_xlfn.XLOOKUP(TEXT(_不良集計ゾーン別ADO[[#This Row],[番号]],"@"),TEXT(_番号ADO[番号],"@"),_番号ADO[発生],"",0,1)</f>
        <v>成形</v>
      </c>
      <c r="N193" s="1" t="str">
        <f>_xlfn.IFS(MID(_不良集計ゾーン別ADO[[#This Row],[品番]],3,2)="Fr","Fr",MID(_不良集計ゾーン別ADO[[#This Row],[品番]],3,2)="Rr","Rr",TRUE,"")</f>
        <v>Fr</v>
      </c>
      <c r="O193" s="1" t="str">
        <f>IF(ISBLANK(_不良集計ゾーン別ADO[[#This Row],[品番]]),"",RIGHT(_不良集計ゾーン別ADO[[#This Row],[品番]],2))</f>
        <v>RH</v>
      </c>
      <c r="P193" s="1" t="str">
        <f>_xlfn.IFS(LEFT(_不良集計ゾーン別ADO[[#This Row],[品番]],2)="アル","アルヴェル",LEFT(_不良集計ゾーン別ADO[[#This Row],[品番]],2)="ノア","ノアヴォク",TRUE,"")</f>
        <v>アルヴェル</v>
      </c>
      <c r="U193" s="1"/>
    </row>
    <row r="194" spans="1:21" x14ac:dyDescent="0.45">
      <c r="A194">
        <v>192</v>
      </c>
      <c r="B194" s="16">
        <v>46043</v>
      </c>
      <c r="C194" s="1" t="s">
        <v>54</v>
      </c>
      <c r="D194" s="1" t="s">
        <v>104</v>
      </c>
      <c r="E194" s="1" t="s">
        <v>57</v>
      </c>
      <c r="F194" s="1" t="s">
        <v>2</v>
      </c>
      <c r="G194" s="1" t="s">
        <v>72</v>
      </c>
      <c r="H194" s="1">
        <v>1</v>
      </c>
      <c r="I194">
        <v>0</v>
      </c>
      <c r="J194" s="1" t="str" cm="1">
        <f t="array" ref="J194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シルバー</v>
      </c>
      <c r="K194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シルバー</v>
      </c>
      <c r="L194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194" s="1" t="str" cm="1">
        <f t="array" ref="M194">_xlfn.XLOOKUP(TEXT(_不良集計ゾーン別ADO[[#This Row],[番号]],"@"),TEXT(_番号ADO[番号],"@"),_番号ADO[発生],"",0,1)</f>
        <v>成形</v>
      </c>
      <c r="N194" s="1" t="str">
        <f>_xlfn.IFS(MID(_不良集計ゾーン別ADO[[#This Row],[品番]],3,2)="Fr","Fr",MID(_不良集計ゾーン別ADO[[#This Row],[品番]],3,2)="Rr","Rr",TRUE,"")</f>
        <v>Fr</v>
      </c>
      <c r="O194" s="1" t="str">
        <f>IF(ISBLANK(_不良集計ゾーン別ADO[[#This Row],[品番]]),"",RIGHT(_不良集計ゾーン別ADO[[#This Row],[品番]],2))</f>
        <v>RH</v>
      </c>
      <c r="P194" s="1" t="str">
        <f>_xlfn.IFS(LEFT(_不良集計ゾーン別ADO[[#This Row],[品番]],2)="アル","アルヴェル",LEFT(_不良集計ゾーン別ADO[[#This Row],[品番]],2)="ノア","ノアヴォク",TRUE,"")</f>
        <v>アルヴェル</v>
      </c>
      <c r="U194" s="1"/>
    </row>
    <row r="195" spans="1:21" x14ac:dyDescent="0.45">
      <c r="A195">
        <v>193</v>
      </c>
      <c r="B195" s="16">
        <v>46043</v>
      </c>
      <c r="C195" s="1" t="s">
        <v>54</v>
      </c>
      <c r="D195" s="1" t="s">
        <v>104</v>
      </c>
      <c r="E195" s="1" t="s">
        <v>57</v>
      </c>
      <c r="F195" s="1" t="s">
        <v>2</v>
      </c>
      <c r="G195" s="1" t="s">
        <v>82</v>
      </c>
      <c r="H195" s="1">
        <v>28</v>
      </c>
      <c r="I195">
        <v>0</v>
      </c>
      <c r="J195" s="1" t="str" cm="1">
        <f t="array" ref="J195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ヒケ</v>
      </c>
      <c r="K195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ヒケ</v>
      </c>
      <c r="L195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195" s="1" t="str" cm="1">
        <f t="array" ref="M195">_xlfn.XLOOKUP(TEXT(_不良集計ゾーン別ADO[[#This Row],[番号]],"@"),TEXT(_番号ADO[番号],"@"),_番号ADO[発生],"",0,1)</f>
        <v>成形</v>
      </c>
      <c r="N195" s="1" t="str">
        <f>_xlfn.IFS(MID(_不良集計ゾーン別ADO[[#This Row],[品番]],3,2)="Fr","Fr",MID(_不良集計ゾーン別ADO[[#This Row],[品番]],3,2)="Rr","Rr",TRUE,"")</f>
        <v>Fr</v>
      </c>
      <c r="O195" s="1" t="str">
        <f>IF(ISBLANK(_不良集計ゾーン別ADO[[#This Row],[品番]]),"",RIGHT(_不良集計ゾーン別ADO[[#This Row],[品番]],2))</f>
        <v>RH</v>
      </c>
      <c r="P195" s="1" t="str">
        <f>_xlfn.IFS(LEFT(_不良集計ゾーン別ADO[[#This Row],[品番]],2)="アル","アルヴェル",LEFT(_不良集計ゾーン別ADO[[#This Row],[品番]],2)="ノア","ノアヴォク",TRUE,"")</f>
        <v>アルヴェル</v>
      </c>
      <c r="U195" s="1"/>
    </row>
    <row r="196" spans="1:21" x14ac:dyDescent="0.45">
      <c r="A196">
        <v>194</v>
      </c>
      <c r="B196" s="16">
        <v>46041</v>
      </c>
      <c r="C196" s="1" t="s">
        <v>35</v>
      </c>
      <c r="D196" s="1" t="s">
        <v>102</v>
      </c>
      <c r="E196" s="1" t="s">
        <v>57</v>
      </c>
      <c r="F196" s="1" t="s">
        <v>3</v>
      </c>
      <c r="G196" s="1" t="s">
        <v>58</v>
      </c>
      <c r="H196" s="1">
        <v>1</v>
      </c>
      <c r="I196">
        <v>0</v>
      </c>
      <c r="J196" s="1" t="str" cm="1">
        <f t="array" ref="J196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ゴミ押し</v>
      </c>
      <c r="K196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ゴミ押し</v>
      </c>
      <c r="L196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196" s="1" t="str" cm="1">
        <f t="array" ref="M196">_xlfn.XLOOKUP(TEXT(_不良集計ゾーン別ADO[[#This Row],[番号]],"@"),TEXT(_番号ADO[番号],"@"),_番号ADO[発生],"",0,1)</f>
        <v>成形</v>
      </c>
      <c r="N196" s="1" t="str">
        <f>_xlfn.IFS(MID(_不良集計ゾーン別ADO[[#This Row],[品番]],3,2)="Fr","Fr",MID(_不良集計ゾーン別ADO[[#This Row],[品番]],3,2)="Rr","Rr",TRUE,"")</f>
        <v>Fr</v>
      </c>
      <c r="O196" s="1" t="str">
        <f>IF(ISBLANK(_不良集計ゾーン別ADO[[#This Row],[品番]]),"",RIGHT(_不良集計ゾーン別ADO[[#This Row],[品番]],2))</f>
        <v>LH</v>
      </c>
      <c r="P196" s="1" t="str">
        <f>_xlfn.IFS(LEFT(_不良集計ゾーン別ADO[[#This Row],[品番]],2)="アル","アルヴェル",LEFT(_不良集計ゾーン別ADO[[#This Row],[品番]],2)="ノア","ノアヴォク",TRUE,"")</f>
        <v>ノアヴォク</v>
      </c>
      <c r="U196" s="1"/>
    </row>
    <row r="197" spans="1:21" x14ac:dyDescent="0.45">
      <c r="A197">
        <v>195</v>
      </c>
      <c r="B197" s="16">
        <v>46041</v>
      </c>
      <c r="C197" s="1" t="s">
        <v>35</v>
      </c>
      <c r="D197" s="1" t="s">
        <v>102</v>
      </c>
      <c r="E197" s="1" t="s">
        <v>57</v>
      </c>
      <c r="F197" s="1" t="s">
        <v>3</v>
      </c>
      <c r="G197" s="1" t="s">
        <v>64</v>
      </c>
      <c r="H197" s="1">
        <v>1</v>
      </c>
      <c r="I197">
        <v>0</v>
      </c>
      <c r="J197" s="1" t="str" cm="1">
        <f t="array" ref="J197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ウエルド</v>
      </c>
      <c r="K197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ウエルド</v>
      </c>
      <c r="L197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197" s="1" t="str" cm="1">
        <f t="array" ref="M197">_xlfn.XLOOKUP(TEXT(_不良集計ゾーン別ADO[[#This Row],[番号]],"@"),TEXT(_番号ADO[番号],"@"),_番号ADO[発生],"",0,1)</f>
        <v>成形</v>
      </c>
      <c r="N197" s="1" t="str">
        <f>_xlfn.IFS(MID(_不良集計ゾーン別ADO[[#This Row],[品番]],3,2)="Fr","Fr",MID(_不良集計ゾーン別ADO[[#This Row],[品番]],3,2)="Rr","Rr",TRUE,"")</f>
        <v>Fr</v>
      </c>
      <c r="O197" s="1" t="str">
        <f>IF(ISBLANK(_不良集計ゾーン別ADO[[#This Row],[品番]]),"",RIGHT(_不良集計ゾーン別ADO[[#This Row],[品番]],2))</f>
        <v>LH</v>
      </c>
      <c r="P197" s="1" t="str">
        <f>_xlfn.IFS(LEFT(_不良集計ゾーン別ADO[[#This Row],[品番]],2)="アル","アルヴェル",LEFT(_不良集計ゾーン別ADO[[#This Row],[品番]],2)="ノア","ノアヴォク",TRUE,"")</f>
        <v>ノアヴォク</v>
      </c>
      <c r="U197" s="1"/>
    </row>
    <row r="198" spans="1:21" x14ac:dyDescent="0.45">
      <c r="A198">
        <v>196</v>
      </c>
      <c r="B198" s="16">
        <v>46041</v>
      </c>
      <c r="C198" s="1" t="s">
        <v>35</v>
      </c>
      <c r="D198" s="1" t="s">
        <v>102</v>
      </c>
      <c r="E198" s="1" t="s">
        <v>57</v>
      </c>
      <c r="F198" s="1" t="s">
        <v>2</v>
      </c>
      <c r="G198" s="1" t="s">
        <v>64</v>
      </c>
      <c r="H198" s="1">
        <v>1</v>
      </c>
      <c r="I198">
        <v>0</v>
      </c>
      <c r="J198" s="1" t="str" cm="1">
        <f t="array" ref="J198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ウエルド</v>
      </c>
      <c r="K198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ウエルド</v>
      </c>
      <c r="L198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198" s="1" t="str" cm="1">
        <f t="array" ref="M198">_xlfn.XLOOKUP(TEXT(_不良集計ゾーン別ADO[[#This Row],[番号]],"@"),TEXT(_番号ADO[番号],"@"),_番号ADO[発生],"",0,1)</f>
        <v>成形</v>
      </c>
      <c r="N198" s="1" t="str">
        <f>_xlfn.IFS(MID(_不良集計ゾーン別ADO[[#This Row],[品番]],3,2)="Fr","Fr",MID(_不良集計ゾーン別ADO[[#This Row],[品番]],3,2)="Rr","Rr",TRUE,"")</f>
        <v>Fr</v>
      </c>
      <c r="O198" s="1" t="str">
        <f>IF(ISBLANK(_不良集計ゾーン別ADO[[#This Row],[品番]]),"",RIGHT(_不良集計ゾーン別ADO[[#This Row],[品番]],2))</f>
        <v>LH</v>
      </c>
      <c r="P198" s="1" t="str">
        <f>_xlfn.IFS(LEFT(_不良集計ゾーン別ADO[[#This Row],[品番]],2)="アル","アルヴェル",LEFT(_不良集計ゾーン別ADO[[#This Row],[品番]],2)="ノア","ノアヴォク",TRUE,"")</f>
        <v>ノアヴォク</v>
      </c>
      <c r="U198" s="1"/>
    </row>
    <row r="199" spans="1:21" x14ac:dyDescent="0.45">
      <c r="A199">
        <v>197</v>
      </c>
      <c r="B199" s="16">
        <v>46041</v>
      </c>
      <c r="C199" s="1" t="s">
        <v>35</v>
      </c>
      <c r="D199" s="1" t="s">
        <v>102</v>
      </c>
      <c r="E199" s="1" t="s">
        <v>57</v>
      </c>
      <c r="F199" s="1" t="s">
        <v>0</v>
      </c>
      <c r="G199" s="1" t="s">
        <v>64</v>
      </c>
      <c r="H199" s="1">
        <v>1</v>
      </c>
      <c r="I199">
        <v>0</v>
      </c>
      <c r="J199" s="1" t="str" cm="1">
        <f t="array" ref="J199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ウエルド</v>
      </c>
      <c r="K199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ウエルド</v>
      </c>
      <c r="L199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199" s="1" t="str" cm="1">
        <f t="array" ref="M199">_xlfn.XLOOKUP(TEXT(_不良集計ゾーン別ADO[[#This Row],[番号]],"@"),TEXT(_番号ADO[番号],"@"),_番号ADO[発生],"",0,1)</f>
        <v>成形</v>
      </c>
      <c r="N199" s="1" t="str">
        <f>_xlfn.IFS(MID(_不良集計ゾーン別ADO[[#This Row],[品番]],3,2)="Fr","Fr",MID(_不良集計ゾーン別ADO[[#This Row],[品番]],3,2)="Rr","Rr",TRUE,"")</f>
        <v>Fr</v>
      </c>
      <c r="O199" s="1" t="str">
        <f>IF(ISBLANK(_不良集計ゾーン別ADO[[#This Row],[品番]]),"",RIGHT(_不良集計ゾーン別ADO[[#This Row],[品番]],2))</f>
        <v>LH</v>
      </c>
      <c r="P199" s="1" t="str">
        <f>_xlfn.IFS(LEFT(_不良集計ゾーン別ADO[[#This Row],[品番]],2)="アル","アルヴェル",LEFT(_不良集計ゾーン別ADO[[#This Row],[品番]],2)="ノア","ノアヴォク",TRUE,"")</f>
        <v>ノアヴォク</v>
      </c>
      <c r="U199" s="1"/>
    </row>
    <row r="200" spans="1:21" x14ac:dyDescent="0.45">
      <c r="A200">
        <v>198</v>
      </c>
      <c r="B200" s="16">
        <v>46041</v>
      </c>
      <c r="C200" s="1" t="s">
        <v>35</v>
      </c>
      <c r="D200" s="1" t="s">
        <v>102</v>
      </c>
      <c r="E200" s="1" t="s">
        <v>57</v>
      </c>
      <c r="F200" s="1" t="s">
        <v>2</v>
      </c>
      <c r="G200" s="1" t="s">
        <v>96</v>
      </c>
      <c r="H200" s="1">
        <v>3</v>
      </c>
      <c r="I200">
        <v>0</v>
      </c>
      <c r="J200" s="1" t="str" cm="1">
        <f t="array" ref="J200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打出し不良</v>
      </c>
      <c r="K200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打出し不良</v>
      </c>
      <c r="L200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200" s="1" t="str" cm="1">
        <f t="array" ref="M200">_xlfn.XLOOKUP(TEXT(_不良集計ゾーン別ADO[[#This Row],[番号]],"@"),TEXT(_番号ADO[番号],"@"),_番号ADO[発生],"",0,1)</f>
        <v>成形</v>
      </c>
      <c r="N200" s="1" t="str">
        <f>_xlfn.IFS(MID(_不良集計ゾーン別ADO[[#This Row],[品番]],3,2)="Fr","Fr",MID(_不良集計ゾーン別ADO[[#This Row],[品番]],3,2)="Rr","Rr",TRUE,"")</f>
        <v>Fr</v>
      </c>
      <c r="O200" s="1" t="str">
        <f>IF(ISBLANK(_不良集計ゾーン別ADO[[#This Row],[品番]]),"",RIGHT(_不良集計ゾーン別ADO[[#This Row],[品番]],2))</f>
        <v>LH</v>
      </c>
      <c r="P200" s="1" t="str">
        <f>_xlfn.IFS(LEFT(_不良集計ゾーン別ADO[[#This Row],[品番]],2)="アル","アルヴェル",LEFT(_不良集計ゾーン別ADO[[#This Row],[品番]],2)="ノア","ノアヴォク",TRUE,"")</f>
        <v>ノアヴォク</v>
      </c>
      <c r="U200" s="1"/>
    </row>
    <row r="201" spans="1:21" x14ac:dyDescent="0.45">
      <c r="A201">
        <v>199</v>
      </c>
      <c r="B201" s="16">
        <v>46041</v>
      </c>
      <c r="C201" s="1" t="s">
        <v>35</v>
      </c>
      <c r="D201" s="1" t="s">
        <v>102</v>
      </c>
      <c r="E201" s="1" t="s">
        <v>57</v>
      </c>
      <c r="F201" s="1" t="s">
        <v>3</v>
      </c>
      <c r="G201" s="1" t="s">
        <v>70</v>
      </c>
      <c r="H201" s="1">
        <v>1</v>
      </c>
      <c r="I201">
        <v>0</v>
      </c>
      <c r="J201" s="1" t="str" cm="1">
        <f t="array" ref="J201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ムラ</v>
      </c>
      <c r="K201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ムラ</v>
      </c>
      <c r="L201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201" s="1" t="str" cm="1">
        <f t="array" ref="M201">_xlfn.XLOOKUP(TEXT(_不良集計ゾーン別ADO[[#This Row],[番号]],"@"),TEXT(_番号ADO[番号],"@"),_番号ADO[発生],"",0,1)</f>
        <v>成形</v>
      </c>
      <c r="N201" s="1" t="str">
        <f>_xlfn.IFS(MID(_不良集計ゾーン別ADO[[#This Row],[品番]],3,2)="Fr","Fr",MID(_不良集計ゾーン別ADO[[#This Row],[品番]],3,2)="Rr","Rr",TRUE,"")</f>
        <v>Fr</v>
      </c>
      <c r="O201" s="1" t="str">
        <f>IF(ISBLANK(_不良集計ゾーン別ADO[[#This Row],[品番]]),"",RIGHT(_不良集計ゾーン別ADO[[#This Row],[品番]],2))</f>
        <v>LH</v>
      </c>
      <c r="P201" s="1" t="str">
        <f>_xlfn.IFS(LEFT(_不良集計ゾーン別ADO[[#This Row],[品番]],2)="アル","アルヴェル",LEFT(_不良集計ゾーン別ADO[[#This Row],[品番]],2)="ノア","ノアヴォク",TRUE,"")</f>
        <v>ノアヴォク</v>
      </c>
      <c r="U201" s="1"/>
    </row>
    <row r="202" spans="1:21" x14ac:dyDescent="0.45">
      <c r="A202">
        <v>200</v>
      </c>
      <c r="B202" s="16">
        <v>46041</v>
      </c>
      <c r="C202" s="1" t="s">
        <v>41</v>
      </c>
      <c r="D202" s="1" t="s">
        <v>102</v>
      </c>
      <c r="E202" s="1" t="s">
        <v>57</v>
      </c>
      <c r="F202" s="1" t="s">
        <v>2</v>
      </c>
      <c r="G202" s="1" t="s">
        <v>58</v>
      </c>
      <c r="H202" s="1">
        <v>1</v>
      </c>
      <c r="I202">
        <v>0</v>
      </c>
      <c r="J202" s="1" t="str" cm="1">
        <f t="array" ref="J202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ゴミ押し</v>
      </c>
      <c r="K202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ゴミ押し</v>
      </c>
      <c r="L202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202" s="1" t="str" cm="1">
        <f t="array" ref="M202">_xlfn.XLOOKUP(TEXT(_不良集計ゾーン別ADO[[#This Row],[番号]],"@"),TEXT(_番号ADO[番号],"@"),_番号ADO[発生],"",0,1)</f>
        <v>成形</v>
      </c>
      <c r="N202" s="1" t="str">
        <f>_xlfn.IFS(MID(_不良集計ゾーン別ADO[[#This Row],[品番]],3,2)="Fr","Fr",MID(_不良集計ゾーン別ADO[[#This Row],[品番]],3,2)="Rr","Rr",TRUE,"")</f>
        <v>Fr</v>
      </c>
      <c r="O202" s="1" t="str">
        <f>IF(ISBLANK(_不良集計ゾーン別ADO[[#This Row],[品番]]),"",RIGHT(_不良集計ゾーン別ADO[[#This Row],[品番]],2))</f>
        <v>RH</v>
      </c>
      <c r="P202" s="1" t="str">
        <f>_xlfn.IFS(LEFT(_不良集計ゾーン別ADO[[#This Row],[品番]],2)="アル","アルヴェル",LEFT(_不良集計ゾーン別ADO[[#This Row],[品番]],2)="ノア","ノアヴォク",TRUE,"")</f>
        <v>ノアヴォク</v>
      </c>
      <c r="U202" s="1"/>
    </row>
    <row r="203" spans="1:21" x14ac:dyDescent="0.45">
      <c r="A203">
        <v>201</v>
      </c>
      <c r="B203" s="16">
        <v>46041</v>
      </c>
      <c r="C203" s="1" t="s">
        <v>42</v>
      </c>
      <c r="D203" s="1" t="s">
        <v>102</v>
      </c>
      <c r="E203" s="1" t="s">
        <v>57</v>
      </c>
      <c r="F203" s="1" t="s">
        <v>4</v>
      </c>
      <c r="G203" s="1" t="s">
        <v>64</v>
      </c>
      <c r="H203" s="1">
        <v>1</v>
      </c>
      <c r="I203">
        <v>0</v>
      </c>
      <c r="J203" s="1" t="str" cm="1">
        <f t="array" ref="J203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ウエルド</v>
      </c>
      <c r="K203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ウエルド</v>
      </c>
      <c r="L203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203" s="1" t="str" cm="1">
        <f t="array" ref="M203">_xlfn.XLOOKUP(TEXT(_不良集計ゾーン別ADO[[#This Row],[番号]],"@"),TEXT(_番号ADO[番号],"@"),_番号ADO[発生],"",0,1)</f>
        <v>成形</v>
      </c>
      <c r="N203" s="1" t="str">
        <f>_xlfn.IFS(MID(_不良集計ゾーン別ADO[[#This Row],[品番]],3,2)="Fr","Fr",MID(_不良集計ゾーン別ADO[[#This Row],[品番]],3,2)="Rr","Rr",TRUE,"")</f>
        <v>Rr</v>
      </c>
      <c r="O203" s="1" t="str">
        <f>IF(ISBLANK(_不良集計ゾーン別ADO[[#This Row],[品番]]),"",RIGHT(_不良集計ゾーン別ADO[[#This Row],[品番]],2))</f>
        <v>LH</v>
      </c>
      <c r="P203" s="1" t="str">
        <f>_xlfn.IFS(LEFT(_不良集計ゾーン別ADO[[#This Row],[品番]],2)="アル","アルヴェル",LEFT(_不良集計ゾーン別ADO[[#This Row],[品番]],2)="ノア","ノアヴォク",TRUE,"")</f>
        <v>ノアヴォク</v>
      </c>
      <c r="U203" s="1"/>
    </row>
    <row r="204" spans="1:21" x14ac:dyDescent="0.45">
      <c r="A204">
        <v>202</v>
      </c>
      <c r="B204" s="16">
        <v>46041</v>
      </c>
      <c r="C204" s="1" t="s">
        <v>42</v>
      </c>
      <c r="D204" s="1" t="s">
        <v>102</v>
      </c>
      <c r="E204" s="1" t="s">
        <v>57</v>
      </c>
      <c r="F204" s="1" t="s">
        <v>3</v>
      </c>
      <c r="G204" s="1" t="s">
        <v>58</v>
      </c>
      <c r="H204" s="1">
        <v>2</v>
      </c>
      <c r="I204">
        <v>0</v>
      </c>
      <c r="J204" s="1" t="str" cm="1">
        <f t="array" ref="J204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ゴミ押し</v>
      </c>
      <c r="K204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ゴミ押し</v>
      </c>
      <c r="L204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204" s="1" t="str" cm="1">
        <f t="array" ref="M204">_xlfn.XLOOKUP(TEXT(_不良集計ゾーン別ADO[[#This Row],[番号]],"@"),TEXT(_番号ADO[番号],"@"),_番号ADO[発生],"",0,1)</f>
        <v>成形</v>
      </c>
      <c r="N204" s="1" t="str">
        <f>_xlfn.IFS(MID(_不良集計ゾーン別ADO[[#This Row],[品番]],3,2)="Fr","Fr",MID(_不良集計ゾーン別ADO[[#This Row],[品番]],3,2)="Rr","Rr",TRUE,"")</f>
        <v>Rr</v>
      </c>
      <c r="O204" s="1" t="str">
        <f>IF(ISBLANK(_不良集計ゾーン別ADO[[#This Row],[品番]]),"",RIGHT(_不良集計ゾーン別ADO[[#This Row],[品番]],2))</f>
        <v>LH</v>
      </c>
      <c r="P204" s="1" t="str">
        <f>_xlfn.IFS(LEFT(_不良集計ゾーン別ADO[[#This Row],[品番]],2)="アル","アルヴェル",LEFT(_不良集計ゾーン別ADO[[#This Row],[品番]],2)="ノア","ノアヴォク",TRUE,"")</f>
        <v>ノアヴォク</v>
      </c>
      <c r="U204" s="1"/>
    </row>
    <row r="205" spans="1:21" x14ac:dyDescent="0.45">
      <c r="A205">
        <v>203</v>
      </c>
      <c r="B205" s="16">
        <v>46041</v>
      </c>
      <c r="C205" s="1" t="s">
        <v>42</v>
      </c>
      <c r="D205" s="1" t="s">
        <v>102</v>
      </c>
      <c r="E205" s="1" t="s">
        <v>57</v>
      </c>
      <c r="F205" s="1" t="s">
        <v>2</v>
      </c>
      <c r="G205" s="1" t="s">
        <v>58</v>
      </c>
      <c r="H205" s="1">
        <v>1</v>
      </c>
      <c r="I205">
        <v>0</v>
      </c>
      <c r="J205" s="1" t="str" cm="1">
        <f t="array" ref="J205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ゴミ押し</v>
      </c>
      <c r="K205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ゴミ押し</v>
      </c>
      <c r="L205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205" s="1" t="str" cm="1">
        <f t="array" ref="M205">_xlfn.XLOOKUP(TEXT(_不良集計ゾーン別ADO[[#This Row],[番号]],"@"),TEXT(_番号ADO[番号],"@"),_番号ADO[発生],"",0,1)</f>
        <v>成形</v>
      </c>
      <c r="N205" s="1" t="str">
        <f>_xlfn.IFS(MID(_不良集計ゾーン別ADO[[#This Row],[品番]],3,2)="Fr","Fr",MID(_不良集計ゾーン別ADO[[#This Row],[品番]],3,2)="Rr","Rr",TRUE,"")</f>
        <v>Rr</v>
      </c>
      <c r="O205" s="1" t="str">
        <f>IF(ISBLANK(_不良集計ゾーン別ADO[[#This Row],[品番]]),"",RIGHT(_不良集計ゾーン別ADO[[#This Row],[品番]],2))</f>
        <v>LH</v>
      </c>
      <c r="P205" s="1" t="str">
        <f>_xlfn.IFS(LEFT(_不良集計ゾーン別ADO[[#This Row],[品番]],2)="アル","アルヴェル",LEFT(_不良集計ゾーン別ADO[[#This Row],[品番]],2)="ノア","ノアヴォク",TRUE,"")</f>
        <v>ノアヴォク</v>
      </c>
      <c r="U205" s="1"/>
    </row>
    <row r="206" spans="1:21" x14ac:dyDescent="0.45">
      <c r="A206">
        <v>204</v>
      </c>
      <c r="B206" s="16">
        <v>46041</v>
      </c>
      <c r="C206" s="1" t="s">
        <v>42</v>
      </c>
      <c r="D206" s="1" t="s">
        <v>102</v>
      </c>
      <c r="E206" s="1" t="s">
        <v>57</v>
      </c>
      <c r="F206" s="1" t="s">
        <v>2</v>
      </c>
      <c r="G206" s="1" t="s">
        <v>52</v>
      </c>
      <c r="H206" s="1">
        <v>3</v>
      </c>
      <c r="I206">
        <v>0</v>
      </c>
      <c r="J206" s="1" t="str" cm="1">
        <f t="array" ref="J206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206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206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206" s="1" t="str" cm="1">
        <f t="array" ref="M206">_xlfn.XLOOKUP(TEXT(_不良集計ゾーン別ADO[[#This Row],[番号]],"@"),TEXT(_番号ADO[番号],"@"),_番号ADO[発生],"",0,1)</f>
        <v>成形</v>
      </c>
      <c r="N206" s="1" t="str">
        <f>_xlfn.IFS(MID(_不良集計ゾーン別ADO[[#This Row],[品番]],3,2)="Fr","Fr",MID(_不良集計ゾーン別ADO[[#This Row],[品番]],3,2)="Rr","Rr",TRUE,"")</f>
        <v>Rr</v>
      </c>
      <c r="O206" s="1" t="str">
        <f>IF(ISBLANK(_不良集計ゾーン別ADO[[#This Row],[品番]]),"",RIGHT(_不良集計ゾーン別ADO[[#This Row],[品番]],2))</f>
        <v>LH</v>
      </c>
      <c r="P206" s="1" t="str">
        <f>_xlfn.IFS(LEFT(_不良集計ゾーン別ADO[[#This Row],[品番]],2)="アル","アルヴェル",LEFT(_不良集計ゾーン別ADO[[#This Row],[品番]],2)="ノア","ノアヴォク",TRUE,"")</f>
        <v>ノアヴォク</v>
      </c>
      <c r="U206" s="1"/>
    </row>
    <row r="207" spans="1:21" x14ac:dyDescent="0.45">
      <c r="A207">
        <v>205</v>
      </c>
      <c r="B207" s="16">
        <v>46041</v>
      </c>
      <c r="C207" s="1" t="s">
        <v>42</v>
      </c>
      <c r="D207" s="1" t="s">
        <v>102</v>
      </c>
      <c r="E207" s="1" t="s">
        <v>57</v>
      </c>
      <c r="F207" s="1" t="s">
        <v>1</v>
      </c>
      <c r="G207" s="1" t="s">
        <v>52</v>
      </c>
      <c r="H207" s="1">
        <v>1</v>
      </c>
      <c r="I207">
        <v>0</v>
      </c>
      <c r="J207" s="1" t="str" cm="1">
        <f t="array" ref="J207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207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207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207" s="1" t="str" cm="1">
        <f t="array" ref="M207">_xlfn.XLOOKUP(TEXT(_不良集計ゾーン別ADO[[#This Row],[番号]],"@"),TEXT(_番号ADO[番号],"@"),_番号ADO[発生],"",0,1)</f>
        <v>成形</v>
      </c>
      <c r="N207" s="1" t="str">
        <f>_xlfn.IFS(MID(_不良集計ゾーン別ADO[[#This Row],[品番]],3,2)="Fr","Fr",MID(_不良集計ゾーン別ADO[[#This Row],[品番]],3,2)="Rr","Rr",TRUE,"")</f>
        <v>Rr</v>
      </c>
      <c r="O207" s="1" t="str">
        <f>IF(ISBLANK(_不良集計ゾーン別ADO[[#This Row],[品番]]),"",RIGHT(_不良集計ゾーン別ADO[[#This Row],[品番]],2))</f>
        <v>LH</v>
      </c>
      <c r="P207" s="1" t="str">
        <f>_xlfn.IFS(LEFT(_不良集計ゾーン別ADO[[#This Row],[品番]],2)="アル","アルヴェル",LEFT(_不良集計ゾーン別ADO[[#This Row],[品番]],2)="ノア","ノアヴォク",TRUE,"")</f>
        <v>ノアヴォク</v>
      </c>
      <c r="U207" s="1"/>
    </row>
    <row r="208" spans="1:21" x14ac:dyDescent="0.45">
      <c r="A208">
        <v>206</v>
      </c>
      <c r="B208" s="16">
        <v>46041</v>
      </c>
      <c r="C208" s="1" t="s">
        <v>42</v>
      </c>
      <c r="D208" s="1" t="s">
        <v>102</v>
      </c>
      <c r="E208" s="1" t="s">
        <v>57</v>
      </c>
      <c r="F208" s="1" t="s">
        <v>1</v>
      </c>
      <c r="G208" s="1" t="s">
        <v>59</v>
      </c>
      <c r="H208" s="1">
        <v>1</v>
      </c>
      <c r="I208">
        <v>0</v>
      </c>
      <c r="J208" s="1" t="str" cm="1">
        <f t="array" ref="J208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異物</v>
      </c>
      <c r="K208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異物</v>
      </c>
      <c r="L208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208" s="1" t="str" cm="1">
        <f t="array" ref="M208">_xlfn.XLOOKUP(TEXT(_不良集計ゾーン別ADO[[#This Row],[番号]],"@"),TEXT(_番号ADO[番号],"@"),_番号ADO[発生],"",0,1)</f>
        <v>成形</v>
      </c>
      <c r="N208" s="1" t="str">
        <f>_xlfn.IFS(MID(_不良集計ゾーン別ADO[[#This Row],[品番]],3,2)="Fr","Fr",MID(_不良集計ゾーン別ADO[[#This Row],[品番]],3,2)="Rr","Rr",TRUE,"")</f>
        <v>Rr</v>
      </c>
      <c r="O208" s="1" t="str">
        <f>IF(ISBLANK(_不良集計ゾーン別ADO[[#This Row],[品番]]),"",RIGHT(_不良集計ゾーン別ADO[[#This Row],[品番]],2))</f>
        <v>LH</v>
      </c>
      <c r="P208" s="1" t="str">
        <f>_xlfn.IFS(LEFT(_不良集計ゾーン別ADO[[#This Row],[品番]],2)="アル","アルヴェル",LEFT(_不良集計ゾーン別ADO[[#This Row],[品番]],2)="ノア","ノアヴォク",TRUE,"")</f>
        <v>ノアヴォク</v>
      </c>
      <c r="U208" s="1"/>
    </row>
    <row r="209" spans="1:21" x14ac:dyDescent="0.45">
      <c r="A209">
        <v>207</v>
      </c>
      <c r="B209" s="16">
        <v>46041</v>
      </c>
      <c r="C209" s="1" t="s">
        <v>42</v>
      </c>
      <c r="D209" s="1" t="s">
        <v>102</v>
      </c>
      <c r="E209" s="1" t="s">
        <v>57</v>
      </c>
      <c r="F209" s="1" t="s">
        <v>0</v>
      </c>
      <c r="G209" s="1" t="s">
        <v>64</v>
      </c>
      <c r="H209" s="1">
        <v>1</v>
      </c>
      <c r="I209">
        <v>0</v>
      </c>
      <c r="J209" s="1" t="str" cm="1">
        <f t="array" ref="J209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ウエルド</v>
      </c>
      <c r="K209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ウエルド</v>
      </c>
      <c r="L209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209" s="1" t="str" cm="1">
        <f t="array" ref="M209">_xlfn.XLOOKUP(TEXT(_不良集計ゾーン別ADO[[#This Row],[番号]],"@"),TEXT(_番号ADO[番号],"@"),_番号ADO[発生],"",0,1)</f>
        <v>成形</v>
      </c>
      <c r="N209" s="1" t="str">
        <f>_xlfn.IFS(MID(_不良集計ゾーン別ADO[[#This Row],[品番]],3,2)="Fr","Fr",MID(_不良集計ゾーン別ADO[[#This Row],[品番]],3,2)="Rr","Rr",TRUE,"")</f>
        <v>Rr</v>
      </c>
      <c r="O209" s="1" t="str">
        <f>IF(ISBLANK(_不良集計ゾーン別ADO[[#This Row],[品番]]),"",RIGHT(_不良集計ゾーン別ADO[[#This Row],[品番]],2))</f>
        <v>LH</v>
      </c>
      <c r="P209" s="1" t="str">
        <f>_xlfn.IFS(LEFT(_不良集計ゾーン別ADO[[#This Row],[品番]],2)="アル","アルヴェル",LEFT(_不良集計ゾーン別ADO[[#This Row],[品番]],2)="ノア","ノアヴォク",TRUE,"")</f>
        <v>ノアヴォク</v>
      </c>
      <c r="U209" s="1"/>
    </row>
    <row r="210" spans="1:21" x14ac:dyDescent="0.45">
      <c r="A210">
        <v>208</v>
      </c>
      <c r="B210" s="16">
        <v>46041</v>
      </c>
      <c r="C210" s="1" t="s">
        <v>43</v>
      </c>
      <c r="D210" s="1" t="s">
        <v>102</v>
      </c>
      <c r="E210" s="1" t="s">
        <v>57</v>
      </c>
      <c r="F210" s="1" t="s">
        <v>1</v>
      </c>
      <c r="G210" s="1" t="s">
        <v>66</v>
      </c>
      <c r="H210" s="1">
        <v>1</v>
      </c>
      <c r="I210">
        <v>0</v>
      </c>
      <c r="J210" s="1" t="str" cm="1">
        <f t="array" ref="J210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カス</v>
      </c>
      <c r="K210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カス</v>
      </c>
      <c r="L210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210" s="1" t="str" cm="1">
        <f t="array" ref="M210">_xlfn.XLOOKUP(TEXT(_不良集計ゾーン別ADO[[#This Row],[番号]],"@"),TEXT(_番号ADO[番号],"@"),_番号ADO[発生],"",0,1)</f>
        <v>成形</v>
      </c>
      <c r="N210" s="1" t="str">
        <f>_xlfn.IFS(MID(_不良集計ゾーン別ADO[[#This Row],[品番]],3,2)="Fr","Fr",MID(_不良集計ゾーン別ADO[[#This Row],[品番]],3,2)="Rr","Rr",TRUE,"")</f>
        <v>Rr</v>
      </c>
      <c r="O210" s="1" t="str">
        <f>IF(ISBLANK(_不良集計ゾーン別ADO[[#This Row],[品番]]),"",RIGHT(_不良集計ゾーン別ADO[[#This Row],[品番]],2))</f>
        <v>RH</v>
      </c>
      <c r="P210" s="1" t="str">
        <f>_xlfn.IFS(LEFT(_不良集計ゾーン別ADO[[#This Row],[品番]],2)="アル","アルヴェル",LEFT(_不良集計ゾーン別ADO[[#This Row],[品番]],2)="ノア","ノアヴォク",TRUE,"")</f>
        <v>ノアヴォク</v>
      </c>
      <c r="U210" s="1"/>
    </row>
    <row r="211" spans="1:21" x14ac:dyDescent="0.45">
      <c r="A211">
        <v>209</v>
      </c>
      <c r="B211" s="16">
        <v>46041</v>
      </c>
      <c r="C211" s="1" t="s">
        <v>42</v>
      </c>
      <c r="D211" s="1" t="s">
        <v>102</v>
      </c>
      <c r="E211" s="1" t="s">
        <v>57</v>
      </c>
      <c r="F211" s="1" t="s">
        <v>3</v>
      </c>
      <c r="G211" s="1" t="s">
        <v>58</v>
      </c>
      <c r="H211" s="1">
        <v>1</v>
      </c>
      <c r="I211">
        <v>0</v>
      </c>
      <c r="J211" s="1" t="str" cm="1">
        <f t="array" ref="J211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ゴミ押し</v>
      </c>
      <c r="K211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ゴミ押し</v>
      </c>
      <c r="L211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211" s="1" t="str" cm="1">
        <f t="array" ref="M211">_xlfn.XLOOKUP(TEXT(_不良集計ゾーン別ADO[[#This Row],[番号]],"@"),TEXT(_番号ADO[番号],"@"),_番号ADO[発生],"",0,1)</f>
        <v>成形</v>
      </c>
      <c r="N211" s="1" t="str">
        <f>_xlfn.IFS(MID(_不良集計ゾーン別ADO[[#This Row],[品番]],3,2)="Fr","Fr",MID(_不良集計ゾーン別ADO[[#This Row],[品番]],3,2)="Rr","Rr",TRUE,"")</f>
        <v>Rr</v>
      </c>
      <c r="O211" s="1" t="str">
        <f>IF(ISBLANK(_不良集計ゾーン別ADO[[#This Row],[品番]]),"",RIGHT(_不良集計ゾーン別ADO[[#This Row],[品番]],2))</f>
        <v>LH</v>
      </c>
      <c r="P211" s="1" t="str">
        <f>_xlfn.IFS(LEFT(_不良集計ゾーン別ADO[[#This Row],[品番]],2)="アル","アルヴェル",LEFT(_不良集計ゾーン別ADO[[#This Row],[品番]],2)="ノア","ノアヴォク",TRUE,"")</f>
        <v>ノアヴォク</v>
      </c>
      <c r="U211" s="1"/>
    </row>
    <row r="212" spans="1:21" x14ac:dyDescent="0.45">
      <c r="A212">
        <v>210</v>
      </c>
      <c r="B212" s="16">
        <v>46041</v>
      </c>
      <c r="C212" s="1" t="s">
        <v>42</v>
      </c>
      <c r="D212" s="1" t="s">
        <v>102</v>
      </c>
      <c r="E212" s="1" t="s">
        <v>57</v>
      </c>
      <c r="F212" s="1" t="s">
        <v>2</v>
      </c>
      <c r="G212" s="1" t="s">
        <v>96</v>
      </c>
      <c r="H212" s="1">
        <v>2</v>
      </c>
      <c r="I212">
        <v>0</v>
      </c>
      <c r="J212" s="1" t="str" cm="1">
        <f t="array" ref="J212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打出し不良</v>
      </c>
      <c r="K212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打出し不良</v>
      </c>
      <c r="L212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212" s="1" t="str" cm="1">
        <f t="array" ref="M212">_xlfn.XLOOKUP(TEXT(_不良集計ゾーン別ADO[[#This Row],[番号]],"@"),TEXT(_番号ADO[番号],"@"),_番号ADO[発生],"",0,1)</f>
        <v>成形</v>
      </c>
      <c r="N212" s="1" t="str">
        <f>_xlfn.IFS(MID(_不良集計ゾーン別ADO[[#This Row],[品番]],3,2)="Fr","Fr",MID(_不良集計ゾーン別ADO[[#This Row],[品番]],3,2)="Rr","Rr",TRUE,"")</f>
        <v>Rr</v>
      </c>
      <c r="O212" s="1" t="str">
        <f>IF(ISBLANK(_不良集計ゾーン別ADO[[#This Row],[品番]]),"",RIGHT(_不良集計ゾーン別ADO[[#This Row],[品番]],2))</f>
        <v>LH</v>
      </c>
      <c r="P212" s="1" t="str">
        <f>_xlfn.IFS(LEFT(_不良集計ゾーン別ADO[[#This Row],[品番]],2)="アル","アルヴェル",LEFT(_不良集計ゾーン別ADO[[#This Row],[品番]],2)="ノア","ノアヴォク",TRUE,"")</f>
        <v>ノアヴォク</v>
      </c>
      <c r="U212" s="1"/>
    </row>
    <row r="213" spans="1:21" x14ac:dyDescent="0.45">
      <c r="A213">
        <v>211</v>
      </c>
      <c r="B213" s="16">
        <v>46041</v>
      </c>
      <c r="C213" s="1" t="s">
        <v>42</v>
      </c>
      <c r="D213" s="1" t="s">
        <v>102</v>
      </c>
      <c r="E213" s="1" t="s">
        <v>57</v>
      </c>
      <c r="F213" s="1" t="s">
        <v>1</v>
      </c>
      <c r="G213" s="1" t="s">
        <v>52</v>
      </c>
      <c r="H213" s="1">
        <v>1</v>
      </c>
      <c r="I213">
        <v>0</v>
      </c>
      <c r="J213" s="1" t="str" cm="1">
        <f t="array" ref="J213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213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213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213" s="1" t="str" cm="1">
        <f t="array" ref="M213">_xlfn.XLOOKUP(TEXT(_不良集計ゾーン別ADO[[#This Row],[番号]],"@"),TEXT(_番号ADO[番号],"@"),_番号ADO[発生],"",0,1)</f>
        <v>成形</v>
      </c>
      <c r="N213" s="1" t="str">
        <f>_xlfn.IFS(MID(_不良集計ゾーン別ADO[[#This Row],[品番]],3,2)="Fr","Fr",MID(_不良集計ゾーン別ADO[[#This Row],[品番]],3,2)="Rr","Rr",TRUE,"")</f>
        <v>Rr</v>
      </c>
      <c r="O213" s="1" t="str">
        <f>IF(ISBLANK(_不良集計ゾーン別ADO[[#This Row],[品番]]),"",RIGHT(_不良集計ゾーン別ADO[[#This Row],[品番]],2))</f>
        <v>LH</v>
      </c>
      <c r="P213" s="1" t="str">
        <f>_xlfn.IFS(LEFT(_不良集計ゾーン別ADO[[#This Row],[品番]],2)="アル","アルヴェル",LEFT(_不良集計ゾーン別ADO[[#This Row],[品番]],2)="ノア","ノアヴォク",TRUE,"")</f>
        <v>ノアヴォク</v>
      </c>
      <c r="U213" s="1"/>
    </row>
    <row r="214" spans="1:21" x14ac:dyDescent="0.45">
      <c r="A214">
        <v>212</v>
      </c>
      <c r="B214" s="16">
        <v>46041</v>
      </c>
      <c r="C214" s="1" t="s">
        <v>43</v>
      </c>
      <c r="D214" s="1" t="s">
        <v>102</v>
      </c>
      <c r="E214" s="1" t="s">
        <v>57</v>
      </c>
      <c r="F214" s="1" t="s">
        <v>1</v>
      </c>
      <c r="G214" s="1" t="s">
        <v>59</v>
      </c>
      <c r="H214" s="1">
        <v>1</v>
      </c>
      <c r="I214">
        <v>0</v>
      </c>
      <c r="J214" s="1" t="str" cm="1">
        <f t="array" ref="J214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異物</v>
      </c>
      <c r="K214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異物</v>
      </c>
      <c r="L214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214" s="1" t="str" cm="1">
        <f t="array" ref="M214">_xlfn.XLOOKUP(TEXT(_不良集計ゾーン別ADO[[#This Row],[番号]],"@"),TEXT(_番号ADO[番号],"@"),_番号ADO[発生],"",0,1)</f>
        <v>成形</v>
      </c>
      <c r="N214" s="1" t="str">
        <f>_xlfn.IFS(MID(_不良集計ゾーン別ADO[[#This Row],[品番]],3,2)="Fr","Fr",MID(_不良集計ゾーン別ADO[[#This Row],[品番]],3,2)="Rr","Rr",TRUE,"")</f>
        <v>Rr</v>
      </c>
      <c r="O214" s="1" t="str">
        <f>IF(ISBLANK(_不良集計ゾーン別ADO[[#This Row],[品番]]),"",RIGHT(_不良集計ゾーン別ADO[[#This Row],[品番]],2))</f>
        <v>RH</v>
      </c>
      <c r="P214" s="1" t="str">
        <f>_xlfn.IFS(LEFT(_不良集計ゾーン別ADO[[#This Row],[品番]],2)="アル","アルヴェル",LEFT(_不良集計ゾーン別ADO[[#This Row],[品番]],2)="ノア","ノアヴォク",TRUE,"")</f>
        <v>ノアヴォク</v>
      </c>
      <c r="U214" s="1"/>
    </row>
    <row r="215" spans="1:21" x14ac:dyDescent="0.45">
      <c r="A215">
        <v>213</v>
      </c>
      <c r="B215" s="16">
        <v>46041</v>
      </c>
      <c r="C215" s="1" t="s">
        <v>43</v>
      </c>
      <c r="D215" s="1" t="s">
        <v>102</v>
      </c>
      <c r="E215" s="1" t="s">
        <v>57</v>
      </c>
      <c r="F215" s="1" t="s">
        <v>2</v>
      </c>
      <c r="G215" s="1" t="s">
        <v>71</v>
      </c>
      <c r="H215" s="1">
        <v>1</v>
      </c>
      <c r="I215">
        <v>0</v>
      </c>
      <c r="J215" s="1" t="str" cm="1">
        <f t="array" ref="J215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糸引き</v>
      </c>
      <c r="K215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糸引き</v>
      </c>
      <c r="L215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215" s="1" t="str" cm="1">
        <f t="array" ref="M215">_xlfn.XLOOKUP(TEXT(_不良集計ゾーン別ADO[[#This Row],[番号]],"@"),TEXT(_番号ADO[番号],"@"),_番号ADO[発生],"",0,1)</f>
        <v>成形</v>
      </c>
      <c r="N215" s="1" t="str">
        <f>_xlfn.IFS(MID(_不良集計ゾーン別ADO[[#This Row],[品番]],3,2)="Fr","Fr",MID(_不良集計ゾーン別ADO[[#This Row],[品番]],3,2)="Rr","Rr",TRUE,"")</f>
        <v>Rr</v>
      </c>
      <c r="O215" s="1" t="str">
        <f>IF(ISBLANK(_不良集計ゾーン別ADO[[#This Row],[品番]]),"",RIGHT(_不良集計ゾーン別ADO[[#This Row],[品番]],2))</f>
        <v>RH</v>
      </c>
      <c r="P215" s="1" t="str">
        <f>_xlfn.IFS(LEFT(_不良集計ゾーン別ADO[[#This Row],[品番]],2)="アル","アルヴェル",LEFT(_不良集計ゾーン別ADO[[#This Row],[品番]],2)="ノア","ノアヴォク",TRUE,"")</f>
        <v>ノアヴォク</v>
      </c>
      <c r="U215" s="1"/>
    </row>
    <row r="216" spans="1:21" x14ac:dyDescent="0.45">
      <c r="A216">
        <v>214</v>
      </c>
      <c r="B216" s="16">
        <v>46041</v>
      </c>
      <c r="C216" s="1" t="s">
        <v>43</v>
      </c>
      <c r="D216" s="1" t="s">
        <v>102</v>
      </c>
      <c r="E216" s="1" t="s">
        <v>57</v>
      </c>
      <c r="F216" s="1" t="s">
        <v>2</v>
      </c>
      <c r="G216" s="1" t="s">
        <v>52</v>
      </c>
      <c r="H216" s="1">
        <v>1</v>
      </c>
      <c r="I216">
        <v>0</v>
      </c>
      <c r="J216" s="1" t="str" cm="1">
        <f t="array" ref="J216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216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216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216" s="1" t="str" cm="1">
        <f t="array" ref="M216">_xlfn.XLOOKUP(TEXT(_不良集計ゾーン別ADO[[#This Row],[番号]],"@"),TEXT(_番号ADO[番号],"@"),_番号ADO[発生],"",0,1)</f>
        <v>成形</v>
      </c>
      <c r="N216" s="1" t="str">
        <f>_xlfn.IFS(MID(_不良集計ゾーン別ADO[[#This Row],[品番]],3,2)="Fr","Fr",MID(_不良集計ゾーン別ADO[[#This Row],[品番]],3,2)="Rr","Rr",TRUE,"")</f>
        <v>Rr</v>
      </c>
      <c r="O216" s="1" t="str">
        <f>IF(ISBLANK(_不良集計ゾーン別ADO[[#This Row],[品番]]),"",RIGHT(_不良集計ゾーン別ADO[[#This Row],[品番]],2))</f>
        <v>RH</v>
      </c>
      <c r="P216" s="1" t="str">
        <f>_xlfn.IFS(LEFT(_不良集計ゾーン別ADO[[#This Row],[品番]],2)="アル","アルヴェル",LEFT(_不良集計ゾーン別ADO[[#This Row],[品番]],2)="ノア","ノアヴォク",TRUE,"")</f>
        <v>ノアヴォク</v>
      </c>
      <c r="U216" s="1"/>
    </row>
    <row r="217" spans="1:21" x14ac:dyDescent="0.45">
      <c r="A217">
        <v>215</v>
      </c>
      <c r="B217" s="16">
        <v>46042</v>
      </c>
      <c r="C217" s="1" t="s">
        <v>35</v>
      </c>
      <c r="D217" s="1" t="s">
        <v>107</v>
      </c>
      <c r="E217" s="1" t="s">
        <v>57</v>
      </c>
      <c r="F217" s="1" t="s">
        <v>3</v>
      </c>
      <c r="G217" s="1" t="s">
        <v>78</v>
      </c>
      <c r="H217" s="1">
        <v>1</v>
      </c>
      <c r="I217">
        <v>0</v>
      </c>
      <c r="J217" s="1" t="str" cm="1">
        <f t="array" ref="J217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ガス</v>
      </c>
      <c r="K217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ガス</v>
      </c>
      <c r="L217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217" s="1" t="str" cm="1">
        <f t="array" ref="M217">_xlfn.XLOOKUP(TEXT(_不良集計ゾーン別ADO[[#This Row],[番号]],"@"),TEXT(_番号ADO[番号],"@"),_番号ADO[発生],"",0,1)</f>
        <v>成形</v>
      </c>
      <c r="N217" s="1" t="str">
        <f>_xlfn.IFS(MID(_不良集計ゾーン別ADO[[#This Row],[品番]],3,2)="Fr","Fr",MID(_不良集計ゾーン別ADO[[#This Row],[品番]],3,2)="Rr","Rr",TRUE,"")</f>
        <v>Fr</v>
      </c>
      <c r="O217" s="1" t="str">
        <f>IF(ISBLANK(_不良集計ゾーン別ADO[[#This Row],[品番]]),"",RIGHT(_不良集計ゾーン別ADO[[#This Row],[品番]],2))</f>
        <v>LH</v>
      </c>
      <c r="P217" s="1" t="str">
        <f>_xlfn.IFS(LEFT(_不良集計ゾーン別ADO[[#This Row],[品番]],2)="アル","アルヴェル",LEFT(_不良集計ゾーン別ADO[[#This Row],[品番]],2)="ノア","ノアヴォク",TRUE,"")</f>
        <v>ノアヴォク</v>
      </c>
      <c r="U217" s="1"/>
    </row>
    <row r="218" spans="1:21" x14ac:dyDescent="0.45">
      <c r="A218">
        <v>216</v>
      </c>
      <c r="B218" s="16">
        <v>46042</v>
      </c>
      <c r="C218" s="1" t="s">
        <v>35</v>
      </c>
      <c r="D218" s="1" t="s">
        <v>107</v>
      </c>
      <c r="E218" s="1" t="s">
        <v>57</v>
      </c>
      <c r="F218" s="1" t="s">
        <v>1</v>
      </c>
      <c r="G218" s="1" t="s">
        <v>71</v>
      </c>
      <c r="H218" s="1">
        <v>1</v>
      </c>
      <c r="I218">
        <v>0</v>
      </c>
      <c r="J218" s="1" t="str" cm="1">
        <f t="array" ref="J218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糸引き</v>
      </c>
      <c r="K218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糸引き</v>
      </c>
      <c r="L218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218" s="1" t="str" cm="1">
        <f t="array" ref="M218">_xlfn.XLOOKUP(TEXT(_不良集計ゾーン別ADO[[#This Row],[番号]],"@"),TEXT(_番号ADO[番号],"@"),_番号ADO[発生],"",0,1)</f>
        <v>成形</v>
      </c>
      <c r="N218" s="1" t="str">
        <f>_xlfn.IFS(MID(_不良集計ゾーン別ADO[[#This Row],[品番]],3,2)="Fr","Fr",MID(_不良集計ゾーン別ADO[[#This Row],[品番]],3,2)="Rr","Rr",TRUE,"")</f>
        <v>Fr</v>
      </c>
      <c r="O218" s="1" t="str">
        <f>IF(ISBLANK(_不良集計ゾーン別ADO[[#This Row],[品番]]),"",RIGHT(_不良集計ゾーン別ADO[[#This Row],[品番]],2))</f>
        <v>LH</v>
      </c>
      <c r="P218" s="1" t="str">
        <f>_xlfn.IFS(LEFT(_不良集計ゾーン別ADO[[#This Row],[品番]],2)="アル","アルヴェル",LEFT(_不良集計ゾーン別ADO[[#This Row],[品番]],2)="ノア","ノアヴォク",TRUE,"")</f>
        <v>ノアヴォク</v>
      </c>
      <c r="U218" s="1"/>
    </row>
    <row r="219" spans="1:21" x14ac:dyDescent="0.45">
      <c r="A219">
        <v>217</v>
      </c>
      <c r="B219" s="16">
        <v>46042</v>
      </c>
      <c r="C219" s="1" t="s">
        <v>35</v>
      </c>
      <c r="D219" s="1" t="s">
        <v>107</v>
      </c>
      <c r="E219" s="1" t="s">
        <v>57</v>
      </c>
      <c r="F219" s="1" t="s">
        <v>1</v>
      </c>
      <c r="G219" s="1" t="s">
        <v>72</v>
      </c>
      <c r="H219" s="1">
        <v>1</v>
      </c>
      <c r="I219">
        <v>0</v>
      </c>
      <c r="J219" s="1" t="str" cm="1">
        <f t="array" ref="J219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シルバー</v>
      </c>
      <c r="K219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シルバー</v>
      </c>
      <c r="L219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219" s="1" t="str" cm="1">
        <f t="array" ref="M219">_xlfn.XLOOKUP(TEXT(_不良集計ゾーン別ADO[[#This Row],[番号]],"@"),TEXT(_番号ADO[番号],"@"),_番号ADO[発生],"",0,1)</f>
        <v>成形</v>
      </c>
      <c r="N219" s="1" t="str">
        <f>_xlfn.IFS(MID(_不良集計ゾーン別ADO[[#This Row],[品番]],3,2)="Fr","Fr",MID(_不良集計ゾーン別ADO[[#This Row],[品番]],3,2)="Rr","Rr",TRUE,"")</f>
        <v>Fr</v>
      </c>
      <c r="O219" s="1" t="str">
        <f>IF(ISBLANK(_不良集計ゾーン別ADO[[#This Row],[品番]]),"",RIGHT(_不良集計ゾーン別ADO[[#This Row],[品番]],2))</f>
        <v>LH</v>
      </c>
      <c r="P219" s="1" t="str">
        <f>_xlfn.IFS(LEFT(_不良集計ゾーン別ADO[[#This Row],[品番]],2)="アル","アルヴェル",LEFT(_不良集計ゾーン別ADO[[#This Row],[品番]],2)="ノア","ノアヴォク",TRUE,"")</f>
        <v>ノアヴォク</v>
      </c>
      <c r="U219" s="1"/>
    </row>
    <row r="220" spans="1:21" x14ac:dyDescent="0.45">
      <c r="A220">
        <v>218</v>
      </c>
      <c r="B220" s="16">
        <v>46042</v>
      </c>
      <c r="C220" s="1" t="s">
        <v>41</v>
      </c>
      <c r="D220" s="1" t="s">
        <v>107</v>
      </c>
      <c r="E220" s="1" t="s">
        <v>57</v>
      </c>
      <c r="F220" s="1" t="s">
        <v>1</v>
      </c>
      <c r="G220" s="1" t="s">
        <v>59</v>
      </c>
      <c r="H220" s="1">
        <v>1</v>
      </c>
      <c r="I220">
        <v>0</v>
      </c>
      <c r="J220" s="1" t="str" cm="1">
        <f t="array" ref="J220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異物</v>
      </c>
      <c r="K220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異物</v>
      </c>
      <c r="L220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220" s="1" t="str" cm="1">
        <f t="array" ref="M220">_xlfn.XLOOKUP(TEXT(_不良集計ゾーン別ADO[[#This Row],[番号]],"@"),TEXT(_番号ADO[番号],"@"),_番号ADO[発生],"",0,1)</f>
        <v>成形</v>
      </c>
      <c r="N220" s="1" t="str">
        <f>_xlfn.IFS(MID(_不良集計ゾーン別ADO[[#This Row],[品番]],3,2)="Fr","Fr",MID(_不良集計ゾーン別ADO[[#This Row],[品番]],3,2)="Rr","Rr",TRUE,"")</f>
        <v>Fr</v>
      </c>
      <c r="O220" s="1" t="str">
        <f>IF(ISBLANK(_不良集計ゾーン別ADO[[#This Row],[品番]]),"",RIGHT(_不良集計ゾーン別ADO[[#This Row],[品番]],2))</f>
        <v>RH</v>
      </c>
      <c r="P220" s="1" t="str">
        <f>_xlfn.IFS(LEFT(_不良集計ゾーン別ADO[[#This Row],[品番]],2)="アル","アルヴェル",LEFT(_不良集計ゾーン別ADO[[#This Row],[品番]],2)="ノア","ノアヴォク",TRUE,"")</f>
        <v>ノアヴォク</v>
      </c>
      <c r="U220" s="1"/>
    </row>
    <row r="221" spans="1:21" x14ac:dyDescent="0.45">
      <c r="A221">
        <v>219</v>
      </c>
      <c r="B221" s="16">
        <v>46042</v>
      </c>
      <c r="C221" s="1" t="s">
        <v>41</v>
      </c>
      <c r="D221" s="1" t="s">
        <v>107</v>
      </c>
      <c r="E221" s="1" t="s">
        <v>57</v>
      </c>
      <c r="F221" s="1" t="s">
        <v>1</v>
      </c>
      <c r="G221" s="1" t="s">
        <v>64</v>
      </c>
      <c r="H221" s="1">
        <v>1</v>
      </c>
      <c r="I221">
        <v>0</v>
      </c>
      <c r="J221" s="1" t="str" cm="1">
        <f t="array" ref="J221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ウエルド</v>
      </c>
      <c r="K221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ウエルド</v>
      </c>
      <c r="L221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221" s="1" t="str" cm="1">
        <f t="array" ref="M221">_xlfn.XLOOKUP(TEXT(_不良集計ゾーン別ADO[[#This Row],[番号]],"@"),TEXT(_番号ADO[番号],"@"),_番号ADO[発生],"",0,1)</f>
        <v>成形</v>
      </c>
      <c r="N221" s="1" t="str">
        <f>_xlfn.IFS(MID(_不良集計ゾーン別ADO[[#This Row],[品番]],3,2)="Fr","Fr",MID(_不良集計ゾーン別ADO[[#This Row],[品番]],3,2)="Rr","Rr",TRUE,"")</f>
        <v>Fr</v>
      </c>
      <c r="O221" s="1" t="str">
        <f>IF(ISBLANK(_不良集計ゾーン別ADO[[#This Row],[品番]]),"",RIGHT(_不良集計ゾーン別ADO[[#This Row],[品番]],2))</f>
        <v>RH</v>
      </c>
      <c r="P221" s="1" t="str">
        <f>_xlfn.IFS(LEFT(_不良集計ゾーン別ADO[[#This Row],[品番]],2)="アル","アルヴェル",LEFT(_不良集計ゾーン別ADO[[#This Row],[品番]],2)="ノア","ノアヴォク",TRUE,"")</f>
        <v>ノアヴォク</v>
      </c>
      <c r="U221" s="1"/>
    </row>
    <row r="222" spans="1:21" x14ac:dyDescent="0.45">
      <c r="A222">
        <v>220</v>
      </c>
      <c r="B222" s="16">
        <v>46042</v>
      </c>
      <c r="C222" s="1" t="s">
        <v>41</v>
      </c>
      <c r="D222" s="1" t="s">
        <v>107</v>
      </c>
      <c r="E222" s="1" t="s">
        <v>57</v>
      </c>
      <c r="F222" s="1" t="s">
        <v>2</v>
      </c>
      <c r="G222" s="1" t="s">
        <v>52</v>
      </c>
      <c r="H222" s="1">
        <v>1</v>
      </c>
      <c r="I222">
        <v>0</v>
      </c>
      <c r="J222" s="1" t="str" cm="1">
        <f t="array" ref="J222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222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222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222" s="1" t="str" cm="1">
        <f t="array" ref="M222">_xlfn.XLOOKUP(TEXT(_不良集計ゾーン別ADO[[#This Row],[番号]],"@"),TEXT(_番号ADO[番号],"@"),_番号ADO[発生],"",0,1)</f>
        <v>成形</v>
      </c>
      <c r="N222" s="1" t="str">
        <f>_xlfn.IFS(MID(_不良集計ゾーン別ADO[[#This Row],[品番]],3,2)="Fr","Fr",MID(_不良集計ゾーン別ADO[[#This Row],[品番]],3,2)="Rr","Rr",TRUE,"")</f>
        <v>Fr</v>
      </c>
      <c r="O222" s="1" t="str">
        <f>IF(ISBLANK(_不良集計ゾーン別ADO[[#This Row],[品番]]),"",RIGHT(_不良集計ゾーン別ADO[[#This Row],[品番]],2))</f>
        <v>RH</v>
      </c>
      <c r="P222" s="1" t="str">
        <f>_xlfn.IFS(LEFT(_不良集計ゾーン別ADO[[#This Row],[品番]],2)="アル","アルヴェル",LEFT(_不良集計ゾーン別ADO[[#This Row],[品番]],2)="ノア","ノアヴォク",TRUE,"")</f>
        <v>ノアヴォク</v>
      </c>
      <c r="U222" s="1"/>
    </row>
    <row r="223" spans="1:21" x14ac:dyDescent="0.45">
      <c r="A223">
        <v>221</v>
      </c>
      <c r="B223" s="16">
        <v>46042</v>
      </c>
      <c r="C223" s="1" t="s">
        <v>41</v>
      </c>
      <c r="D223" s="1" t="s">
        <v>107</v>
      </c>
      <c r="E223" s="1" t="s">
        <v>57</v>
      </c>
      <c r="F223" s="1" t="s">
        <v>3</v>
      </c>
      <c r="G223" s="1" t="s">
        <v>58</v>
      </c>
      <c r="H223" s="1">
        <v>1</v>
      </c>
      <c r="I223">
        <v>0</v>
      </c>
      <c r="J223" s="1" t="str" cm="1">
        <f t="array" ref="J223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ゴミ押し</v>
      </c>
      <c r="K223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ゴミ押し</v>
      </c>
      <c r="L223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223" s="1" t="str" cm="1">
        <f t="array" ref="M223">_xlfn.XLOOKUP(TEXT(_不良集計ゾーン別ADO[[#This Row],[番号]],"@"),TEXT(_番号ADO[番号],"@"),_番号ADO[発生],"",0,1)</f>
        <v>成形</v>
      </c>
      <c r="N223" s="1" t="str">
        <f>_xlfn.IFS(MID(_不良集計ゾーン別ADO[[#This Row],[品番]],3,2)="Fr","Fr",MID(_不良集計ゾーン別ADO[[#This Row],[品番]],3,2)="Rr","Rr",TRUE,"")</f>
        <v>Fr</v>
      </c>
      <c r="O223" s="1" t="str">
        <f>IF(ISBLANK(_不良集計ゾーン別ADO[[#This Row],[品番]]),"",RIGHT(_不良集計ゾーン別ADO[[#This Row],[品番]],2))</f>
        <v>RH</v>
      </c>
      <c r="P223" s="1" t="str">
        <f>_xlfn.IFS(LEFT(_不良集計ゾーン別ADO[[#This Row],[品番]],2)="アル","アルヴェル",LEFT(_不良集計ゾーン別ADO[[#This Row],[品番]],2)="ノア","ノアヴォク",TRUE,"")</f>
        <v>ノアヴォク</v>
      </c>
      <c r="U223" s="1"/>
    </row>
    <row r="224" spans="1:21" x14ac:dyDescent="0.45">
      <c r="A224">
        <v>222</v>
      </c>
      <c r="B224" s="16">
        <v>46042</v>
      </c>
      <c r="C224" s="1" t="s">
        <v>41</v>
      </c>
      <c r="D224" s="1" t="s">
        <v>107</v>
      </c>
      <c r="E224" s="1" t="s">
        <v>57</v>
      </c>
      <c r="F224" s="1" t="s">
        <v>3</v>
      </c>
      <c r="G224" s="1" t="s">
        <v>64</v>
      </c>
      <c r="H224" s="1">
        <v>2</v>
      </c>
      <c r="I224">
        <v>0</v>
      </c>
      <c r="J224" s="1" t="str" cm="1">
        <f t="array" ref="J224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ウエルド</v>
      </c>
      <c r="K224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ウエルド</v>
      </c>
      <c r="L224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224" s="1" t="str" cm="1">
        <f t="array" ref="M224">_xlfn.XLOOKUP(TEXT(_不良集計ゾーン別ADO[[#This Row],[番号]],"@"),TEXT(_番号ADO[番号],"@"),_番号ADO[発生],"",0,1)</f>
        <v>成形</v>
      </c>
      <c r="N224" s="1" t="str">
        <f>_xlfn.IFS(MID(_不良集計ゾーン別ADO[[#This Row],[品番]],3,2)="Fr","Fr",MID(_不良集計ゾーン別ADO[[#This Row],[品番]],3,2)="Rr","Rr",TRUE,"")</f>
        <v>Fr</v>
      </c>
      <c r="O224" s="1" t="str">
        <f>IF(ISBLANK(_不良集計ゾーン別ADO[[#This Row],[品番]]),"",RIGHT(_不良集計ゾーン別ADO[[#This Row],[品番]],2))</f>
        <v>RH</v>
      </c>
      <c r="P224" s="1" t="str">
        <f>_xlfn.IFS(LEFT(_不良集計ゾーン別ADO[[#This Row],[品番]],2)="アル","アルヴェル",LEFT(_不良集計ゾーン別ADO[[#This Row],[品番]],2)="ノア","ノアヴォク",TRUE,"")</f>
        <v>ノアヴォク</v>
      </c>
      <c r="U224" s="1"/>
    </row>
    <row r="225" spans="1:21" x14ac:dyDescent="0.45">
      <c r="A225">
        <v>223</v>
      </c>
      <c r="B225" s="16">
        <v>46042</v>
      </c>
      <c r="C225" s="1" t="s">
        <v>35</v>
      </c>
      <c r="D225" s="1" t="s">
        <v>76</v>
      </c>
      <c r="E225" s="1" t="s">
        <v>57</v>
      </c>
      <c r="F225" s="1" t="s">
        <v>3</v>
      </c>
      <c r="G225" s="1" t="s">
        <v>66</v>
      </c>
      <c r="H225" s="1">
        <v>1</v>
      </c>
      <c r="I225">
        <v>0</v>
      </c>
      <c r="J225" s="1" t="str" cm="1">
        <f t="array" ref="J225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カス</v>
      </c>
      <c r="K225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カス</v>
      </c>
      <c r="L225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225" s="1" t="str" cm="1">
        <f t="array" ref="M225">_xlfn.XLOOKUP(TEXT(_不良集計ゾーン別ADO[[#This Row],[番号]],"@"),TEXT(_番号ADO[番号],"@"),_番号ADO[発生],"",0,1)</f>
        <v>成形</v>
      </c>
      <c r="N225" s="1" t="str">
        <f>_xlfn.IFS(MID(_不良集計ゾーン別ADO[[#This Row],[品番]],3,2)="Fr","Fr",MID(_不良集計ゾーン別ADO[[#This Row],[品番]],3,2)="Rr","Rr",TRUE,"")</f>
        <v>Fr</v>
      </c>
      <c r="O225" s="1" t="str">
        <f>IF(ISBLANK(_不良集計ゾーン別ADO[[#This Row],[品番]]),"",RIGHT(_不良集計ゾーン別ADO[[#This Row],[品番]],2))</f>
        <v>LH</v>
      </c>
      <c r="P225" s="1" t="str">
        <f>_xlfn.IFS(LEFT(_不良集計ゾーン別ADO[[#This Row],[品番]],2)="アル","アルヴェル",LEFT(_不良集計ゾーン別ADO[[#This Row],[品番]],2)="ノア","ノアヴォク",TRUE,"")</f>
        <v>ノアヴォク</v>
      </c>
      <c r="U225" s="1"/>
    </row>
    <row r="226" spans="1:21" x14ac:dyDescent="0.45">
      <c r="A226">
        <v>224</v>
      </c>
      <c r="B226" s="16">
        <v>46042</v>
      </c>
      <c r="C226" s="1" t="s">
        <v>35</v>
      </c>
      <c r="D226" s="1" t="s">
        <v>76</v>
      </c>
      <c r="E226" s="1" t="s">
        <v>57</v>
      </c>
      <c r="F226" s="1" t="s">
        <v>2</v>
      </c>
      <c r="G226" s="1" t="s">
        <v>96</v>
      </c>
      <c r="H226" s="1">
        <v>2</v>
      </c>
      <c r="I226">
        <v>0</v>
      </c>
      <c r="J226" s="1" t="str" cm="1">
        <f t="array" ref="J226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打出し不良</v>
      </c>
      <c r="K226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打出し不良</v>
      </c>
      <c r="L226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226" s="1" t="str" cm="1">
        <f t="array" ref="M226">_xlfn.XLOOKUP(TEXT(_不良集計ゾーン別ADO[[#This Row],[番号]],"@"),TEXT(_番号ADO[番号],"@"),_番号ADO[発生],"",0,1)</f>
        <v>成形</v>
      </c>
      <c r="N226" s="1" t="str">
        <f>_xlfn.IFS(MID(_不良集計ゾーン別ADO[[#This Row],[品番]],3,2)="Fr","Fr",MID(_不良集計ゾーン別ADO[[#This Row],[品番]],3,2)="Rr","Rr",TRUE,"")</f>
        <v>Fr</v>
      </c>
      <c r="O226" s="1" t="str">
        <f>IF(ISBLANK(_不良集計ゾーン別ADO[[#This Row],[品番]]),"",RIGHT(_不良集計ゾーン別ADO[[#This Row],[品番]],2))</f>
        <v>LH</v>
      </c>
      <c r="P226" s="1" t="str">
        <f>_xlfn.IFS(LEFT(_不良集計ゾーン別ADO[[#This Row],[品番]],2)="アル","アルヴェル",LEFT(_不良集計ゾーン別ADO[[#This Row],[品番]],2)="ノア","ノアヴォク",TRUE,"")</f>
        <v>ノアヴォク</v>
      </c>
      <c r="U226" s="1"/>
    </row>
    <row r="227" spans="1:21" x14ac:dyDescent="0.45">
      <c r="A227">
        <v>225</v>
      </c>
      <c r="B227" s="16">
        <v>46042</v>
      </c>
      <c r="C227" s="1" t="s">
        <v>35</v>
      </c>
      <c r="D227" s="1" t="s">
        <v>76</v>
      </c>
      <c r="E227" s="1" t="s">
        <v>57</v>
      </c>
      <c r="F227" s="1" t="s">
        <v>2</v>
      </c>
      <c r="G227" s="1" t="s">
        <v>98</v>
      </c>
      <c r="H227" s="1">
        <v>1</v>
      </c>
      <c r="I227">
        <v>0</v>
      </c>
      <c r="J227" s="1" t="str" cm="1">
        <f t="array" ref="J227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取出し不良</v>
      </c>
      <c r="K227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取出し不良</v>
      </c>
      <c r="L227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227" s="1" t="str" cm="1">
        <f t="array" ref="M227">_xlfn.XLOOKUP(TEXT(_不良集計ゾーン別ADO[[#This Row],[番号]],"@"),TEXT(_番号ADO[番号],"@"),_番号ADO[発生],"",0,1)</f>
        <v>成形</v>
      </c>
      <c r="N227" s="1" t="str">
        <f>_xlfn.IFS(MID(_不良集計ゾーン別ADO[[#This Row],[品番]],3,2)="Fr","Fr",MID(_不良集計ゾーン別ADO[[#This Row],[品番]],3,2)="Rr","Rr",TRUE,"")</f>
        <v>Fr</v>
      </c>
      <c r="O227" s="1" t="str">
        <f>IF(ISBLANK(_不良集計ゾーン別ADO[[#This Row],[品番]]),"",RIGHT(_不良集計ゾーン別ADO[[#This Row],[品番]],2))</f>
        <v>LH</v>
      </c>
      <c r="P227" s="1" t="str">
        <f>_xlfn.IFS(LEFT(_不良集計ゾーン別ADO[[#This Row],[品番]],2)="アル","アルヴェル",LEFT(_不良集計ゾーン別ADO[[#This Row],[品番]],2)="ノア","ノアヴォク",TRUE,"")</f>
        <v>ノアヴォク</v>
      </c>
      <c r="U227" s="1"/>
    </row>
    <row r="228" spans="1:21" x14ac:dyDescent="0.45">
      <c r="A228">
        <v>226</v>
      </c>
      <c r="B228" s="16">
        <v>46043</v>
      </c>
      <c r="C228" s="1" t="s">
        <v>42</v>
      </c>
      <c r="D228" s="1" t="s">
        <v>76</v>
      </c>
      <c r="E228" s="1" t="s">
        <v>57</v>
      </c>
      <c r="F228" s="1" t="s">
        <v>2</v>
      </c>
      <c r="G228" s="1" t="s">
        <v>72</v>
      </c>
      <c r="H228" s="1">
        <v>1</v>
      </c>
      <c r="I228">
        <v>0</v>
      </c>
      <c r="J228" s="1" t="str" cm="1">
        <f t="array" ref="J228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シルバー</v>
      </c>
      <c r="K228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シルバー</v>
      </c>
      <c r="L228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228" s="1" t="str" cm="1">
        <f t="array" ref="M228">_xlfn.XLOOKUP(TEXT(_不良集計ゾーン別ADO[[#This Row],[番号]],"@"),TEXT(_番号ADO[番号],"@"),_番号ADO[発生],"",0,1)</f>
        <v>成形</v>
      </c>
      <c r="N228" s="1" t="str">
        <f>_xlfn.IFS(MID(_不良集計ゾーン別ADO[[#This Row],[品番]],3,2)="Fr","Fr",MID(_不良集計ゾーン別ADO[[#This Row],[品番]],3,2)="Rr","Rr",TRUE,"")</f>
        <v>Rr</v>
      </c>
      <c r="O228" s="1" t="str">
        <f>IF(ISBLANK(_不良集計ゾーン別ADO[[#This Row],[品番]]),"",RIGHT(_不良集計ゾーン別ADO[[#This Row],[品番]],2))</f>
        <v>LH</v>
      </c>
      <c r="P228" s="1" t="str">
        <f>_xlfn.IFS(LEFT(_不良集計ゾーン別ADO[[#This Row],[品番]],2)="アル","アルヴェル",LEFT(_不良集計ゾーン別ADO[[#This Row],[品番]],2)="ノア","ノアヴォク",TRUE,"")</f>
        <v>ノアヴォク</v>
      </c>
      <c r="U228" s="1"/>
    </row>
    <row r="229" spans="1:21" x14ac:dyDescent="0.45">
      <c r="A229">
        <v>227</v>
      </c>
      <c r="B229" s="16">
        <v>46043</v>
      </c>
      <c r="C229" s="1" t="s">
        <v>42</v>
      </c>
      <c r="D229" s="1" t="s">
        <v>76</v>
      </c>
      <c r="E229" s="1" t="s">
        <v>57</v>
      </c>
      <c r="F229" s="1" t="s">
        <v>2</v>
      </c>
      <c r="G229" s="1" t="s">
        <v>96</v>
      </c>
      <c r="H229" s="1">
        <v>2</v>
      </c>
      <c r="I229">
        <v>0</v>
      </c>
      <c r="J229" s="1" t="str" cm="1">
        <f t="array" ref="J229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打出し不良</v>
      </c>
      <c r="K229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打出し不良</v>
      </c>
      <c r="L229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229" s="1" t="str" cm="1">
        <f t="array" ref="M229">_xlfn.XLOOKUP(TEXT(_不良集計ゾーン別ADO[[#This Row],[番号]],"@"),TEXT(_番号ADO[番号],"@"),_番号ADO[発生],"",0,1)</f>
        <v>成形</v>
      </c>
      <c r="N229" s="1" t="str">
        <f>_xlfn.IFS(MID(_不良集計ゾーン別ADO[[#This Row],[品番]],3,2)="Fr","Fr",MID(_不良集計ゾーン別ADO[[#This Row],[品番]],3,2)="Rr","Rr",TRUE,"")</f>
        <v>Rr</v>
      </c>
      <c r="O229" s="1" t="str">
        <f>IF(ISBLANK(_不良集計ゾーン別ADO[[#This Row],[品番]]),"",RIGHT(_不良集計ゾーン別ADO[[#This Row],[品番]],2))</f>
        <v>LH</v>
      </c>
      <c r="P229" s="1" t="str">
        <f>_xlfn.IFS(LEFT(_不良集計ゾーン別ADO[[#This Row],[品番]],2)="アル","アルヴェル",LEFT(_不良集計ゾーン別ADO[[#This Row],[品番]],2)="ノア","ノアヴォク",TRUE,"")</f>
        <v>ノアヴォク</v>
      </c>
      <c r="U229" s="1"/>
    </row>
    <row r="230" spans="1:21" x14ac:dyDescent="0.45">
      <c r="A230">
        <v>228</v>
      </c>
      <c r="B230" s="16">
        <v>46043</v>
      </c>
      <c r="C230" s="1" t="s">
        <v>42</v>
      </c>
      <c r="D230" s="1" t="s">
        <v>76</v>
      </c>
      <c r="E230" s="1" t="s">
        <v>57</v>
      </c>
      <c r="F230" s="1" t="s">
        <v>2</v>
      </c>
      <c r="G230" s="1" t="s">
        <v>98</v>
      </c>
      <c r="H230" s="1">
        <v>4</v>
      </c>
      <c r="I230">
        <v>0</v>
      </c>
      <c r="J230" s="1" t="str" cm="1">
        <f t="array" ref="J230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取出し不良</v>
      </c>
      <c r="K230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取出し不良</v>
      </c>
      <c r="L230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230" s="1" t="str" cm="1">
        <f t="array" ref="M230">_xlfn.XLOOKUP(TEXT(_不良集計ゾーン別ADO[[#This Row],[番号]],"@"),TEXT(_番号ADO[番号],"@"),_番号ADO[発生],"",0,1)</f>
        <v>成形</v>
      </c>
      <c r="N230" s="1" t="str">
        <f>_xlfn.IFS(MID(_不良集計ゾーン別ADO[[#This Row],[品番]],3,2)="Fr","Fr",MID(_不良集計ゾーン別ADO[[#This Row],[品番]],3,2)="Rr","Rr",TRUE,"")</f>
        <v>Rr</v>
      </c>
      <c r="O230" s="1" t="str">
        <f>IF(ISBLANK(_不良集計ゾーン別ADO[[#This Row],[品番]]),"",RIGHT(_不良集計ゾーン別ADO[[#This Row],[品番]],2))</f>
        <v>LH</v>
      </c>
      <c r="P230" s="1" t="str">
        <f>_xlfn.IFS(LEFT(_不良集計ゾーン別ADO[[#This Row],[品番]],2)="アル","アルヴェル",LEFT(_不良集計ゾーン別ADO[[#This Row],[品番]],2)="ノア","ノアヴォク",TRUE,"")</f>
        <v>ノアヴォク</v>
      </c>
      <c r="U230" s="1"/>
    </row>
    <row r="231" spans="1:21" x14ac:dyDescent="0.45">
      <c r="A231">
        <v>229</v>
      </c>
      <c r="B231" s="16">
        <v>46043</v>
      </c>
      <c r="C231" s="1" t="s">
        <v>43</v>
      </c>
      <c r="D231" s="1" t="s">
        <v>76</v>
      </c>
      <c r="E231" s="1" t="s">
        <v>57</v>
      </c>
      <c r="F231" s="1" t="s">
        <v>1</v>
      </c>
      <c r="G231" s="1" t="s">
        <v>64</v>
      </c>
      <c r="H231" s="1">
        <v>5</v>
      </c>
      <c r="I231">
        <v>0</v>
      </c>
      <c r="J231" s="1" t="str" cm="1">
        <f t="array" ref="J231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ウエルド</v>
      </c>
      <c r="K231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ウエルド</v>
      </c>
      <c r="L231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231" s="1" t="str" cm="1">
        <f t="array" ref="M231">_xlfn.XLOOKUP(TEXT(_不良集計ゾーン別ADO[[#This Row],[番号]],"@"),TEXT(_番号ADO[番号],"@"),_番号ADO[発生],"",0,1)</f>
        <v>成形</v>
      </c>
      <c r="N231" s="1" t="str">
        <f>_xlfn.IFS(MID(_不良集計ゾーン別ADO[[#This Row],[品番]],3,2)="Fr","Fr",MID(_不良集計ゾーン別ADO[[#This Row],[品番]],3,2)="Rr","Rr",TRUE,"")</f>
        <v>Rr</v>
      </c>
      <c r="O231" s="1" t="str">
        <f>IF(ISBLANK(_不良集計ゾーン別ADO[[#This Row],[品番]]),"",RIGHT(_不良集計ゾーン別ADO[[#This Row],[品番]],2))</f>
        <v>RH</v>
      </c>
      <c r="P231" s="1" t="str">
        <f>_xlfn.IFS(LEFT(_不良集計ゾーン別ADO[[#This Row],[品番]],2)="アル","アルヴェル",LEFT(_不良集計ゾーン別ADO[[#This Row],[品番]],2)="ノア","ノアヴォク",TRUE,"")</f>
        <v>ノアヴォク</v>
      </c>
      <c r="U231" s="1"/>
    </row>
    <row r="232" spans="1:21" x14ac:dyDescent="0.45">
      <c r="A232">
        <v>230</v>
      </c>
      <c r="B232" s="16">
        <v>46043</v>
      </c>
      <c r="C232" s="1" t="s">
        <v>43</v>
      </c>
      <c r="D232" s="1" t="s">
        <v>76</v>
      </c>
      <c r="E232" s="1" t="s">
        <v>57</v>
      </c>
      <c r="F232" s="1" t="s">
        <v>1</v>
      </c>
      <c r="G232" s="1" t="s">
        <v>71</v>
      </c>
      <c r="H232" s="1">
        <v>2</v>
      </c>
      <c r="I232">
        <v>0</v>
      </c>
      <c r="J232" s="1" t="str" cm="1">
        <f t="array" ref="J232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糸引き</v>
      </c>
      <c r="K232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糸引き</v>
      </c>
      <c r="L232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232" s="1" t="str" cm="1">
        <f t="array" ref="M232">_xlfn.XLOOKUP(TEXT(_不良集計ゾーン別ADO[[#This Row],[番号]],"@"),TEXT(_番号ADO[番号],"@"),_番号ADO[発生],"",0,1)</f>
        <v>成形</v>
      </c>
      <c r="N232" s="1" t="str">
        <f>_xlfn.IFS(MID(_不良集計ゾーン別ADO[[#This Row],[品番]],3,2)="Fr","Fr",MID(_不良集計ゾーン別ADO[[#This Row],[品番]],3,2)="Rr","Rr",TRUE,"")</f>
        <v>Rr</v>
      </c>
      <c r="O232" s="1" t="str">
        <f>IF(ISBLANK(_不良集計ゾーン別ADO[[#This Row],[品番]]),"",RIGHT(_不良集計ゾーン別ADO[[#This Row],[品番]],2))</f>
        <v>RH</v>
      </c>
      <c r="P232" s="1" t="str">
        <f>_xlfn.IFS(LEFT(_不良集計ゾーン別ADO[[#This Row],[品番]],2)="アル","アルヴェル",LEFT(_不良集計ゾーン別ADO[[#This Row],[品番]],2)="ノア","ノアヴォク",TRUE,"")</f>
        <v>ノアヴォク</v>
      </c>
      <c r="U232" s="1"/>
    </row>
    <row r="233" spans="1:21" x14ac:dyDescent="0.45">
      <c r="A233">
        <v>231</v>
      </c>
      <c r="B233" s="16">
        <v>46043</v>
      </c>
      <c r="C233" s="1" t="s">
        <v>43</v>
      </c>
      <c r="D233" s="1" t="s">
        <v>76</v>
      </c>
      <c r="E233" s="1" t="s">
        <v>57</v>
      </c>
      <c r="F233" s="1" t="s">
        <v>2</v>
      </c>
      <c r="G233" s="1" t="s">
        <v>96</v>
      </c>
      <c r="H233" s="1">
        <v>2</v>
      </c>
      <c r="I233">
        <v>0</v>
      </c>
      <c r="J233" s="1" t="str" cm="1">
        <f t="array" ref="J233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打出し不良</v>
      </c>
      <c r="K233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打出し不良</v>
      </c>
      <c r="L233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233" s="1" t="str" cm="1">
        <f t="array" ref="M233">_xlfn.XLOOKUP(TEXT(_不良集計ゾーン別ADO[[#This Row],[番号]],"@"),TEXT(_番号ADO[番号],"@"),_番号ADO[発生],"",0,1)</f>
        <v>成形</v>
      </c>
      <c r="N233" s="1" t="str">
        <f>_xlfn.IFS(MID(_不良集計ゾーン別ADO[[#This Row],[品番]],3,2)="Fr","Fr",MID(_不良集計ゾーン別ADO[[#This Row],[品番]],3,2)="Rr","Rr",TRUE,"")</f>
        <v>Rr</v>
      </c>
      <c r="O233" s="1" t="str">
        <f>IF(ISBLANK(_不良集計ゾーン別ADO[[#This Row],[品番]]),"",RIGHT(_不良集計ゾーン別ADO[[#This Row],[品番]],2))</f>
        <v>RH</v>
      </c>
      <c r="P233" s="1" t="str">
        <f>_xlfn.IFS(LEFT(_不良集計ゾーン別ADO[[#This Row],[品番]],2)="アル","アルヴェル",LEFT(_不良集計ゾーン別ADO[[#This Row],[品番]],2)="ノア","ノアヴォク",TRUE,"")</f>
        <v>ノアヴォク</v>
      </c>
      <c r="U233" s="1"/>
    </row>
    <row r="234" spans="1:21" x14ac:dyDescent="0.45">
      <c r="A234">
        <v>232</v>
      </c>
      <c r="B234" s="16">
        <v>46043</v>
      </c>
      <c r="C234" s="1" t="s">
        <v>43</v>
      </c>
      <c r="D234" s="1" t="s">
        <v>76</v>
      </c>
      <c r="E234" s="1" t="s">
        <v>57</v>
      </c>
      <c r="F234" s="1" t="s">
        <v>2</v>
      </c>
      <c r="G234" s="1" t="s">
        <v>98</v>
      </c>
      <c r="H234" s="1">
        <v>4</v>
      </c>
      <c r="I234">
        <v>0</v>
      </c>
      <c r="J234" s="1" t="str" cm="1">
        <f t="array" ref="J234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取出し不良</v>
      </c>
      <c r="K234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取出し不良</v>
      </c>
      <c r="L234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234" s="1" t="str" cm="1">
        <f t="array" ref="M234">_xlfn.XLOOKUP(TEXT(_不良集計ゾーン別ADO[[#This Row],[番号]],"@"),TEXT(_番号ADO[番号],"@"),_番号ADO[発生],"",0,1)</f>
        <v>成形</v>
      </c>
      <c r="N234" s="1" t="str">
        <f>_xlfn.IFS(MID(_不良集計ゾーン別ADO[[#This Row],[品番]],3,2)="Fr","Fr",MID(_不良集計ゾーン別ADO[[#This Row],[品番]],3,2)="Rr","Rr",TRUE,"")</f>
        <v>Rr</v>
      </c>
      <c r="O234" s="1" t="str">
        <f>IF(ISBLANK(_不良集計ゾーン別ADO[[#This Row],[品番]]),"",RIGHT(_不良集計ゾーン別ADO[[#This Row],[品番]],2))</f>
        <v>RH</v>
      </c>
      <c r="P234" s="1" t="str">
        <f>_xlfn.IFS(LEFT(_不良集計ゾーン別ADO[[#This Row],[品番]],2)="アル","アルヴェル",LEFT(_不良集計ゾーン別ADO[[#This Row],[品番]],2)="ノア","ノアヴォク",TRUE,"")</f>
        <v>ノアヴォク</v>
      </c>
      <c r="U234" s="1"/>
    </row>
    <row r="235" spans="1:21" x14ac:dyDescent="0.45">
      <c r="A235">
        <v>233</v>
      </c>
      <c r="B235" s="16">
        <v>46043</v>
      </c>
      <c r="C235" s="1" t="s">
        <v>43</v>
      </c>
      <c r="D235" s="1" t="s">
        <v>76</v>
      </c>
      <c r="E235" s="1" t="s">
        <v>57</v>
      </c>
      <c r="F235" s="1" t="s">
        <v>2</v>
      </c>
      <c r="G235" s="1" t="s">
        <v>72</v>
      </c>
      <c r="H235" s="1">
        <v>2</v>
      </c>
      <c r="I235">
        <v>0</v>
      </c>
      <c r="J235" s="1" t="str" cm="1">
        <f t="array" ref="J235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シルバー</v>
      </c>
      <c r="K235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シルバー</v>
      </c>
      <c r="L235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235" s="1" t="str" cm="1">
        <f t="array" ref="M235">_xlfn.XLOOKUP(TEXT(_不良集計ゾーン別ADO[[#This Row],[番号]],"@"),TEXT(_番号ADO[番号],"@"),_番号ADO[発生],"",0,1)</f>
        <v>成形</v>
      </c>
      <c r="N235" s="1" t="str">
        <f>_xlfn.IFS(MID(_不良集計ゾーン別ADO[[#This Row],[品番]],3,2)="Fr","Fr",MID(_不良集計ゾーン別ADO[[#This Row],[品番]],3,2)="Rr","Rr",TRUE,"")</f>
        <v>Rr</v>
      </c>
      <c r="O235" s="1" t="str">
        <f>IF(ISBLANK(_不良集計ゾーン別ADO[[#This Row],[品番]]),"",RIGHT(_不良集計ゾーン別ADO[[#This Row],[品番]],2))</f>
        <v>RH</v>
      </c>
      <c r="P235" s="1" t="str">
        <f>_xlfn.IFS(LEFT(_不良集計ゾーン別ADO[[#This Row],[品番]],2)="アル","アルヴェル",LEFT(_不良集計ゾーン別ADO[[#This Row],[品番]],2)="ノア","ノアヴォク",TRUE,"")</f>
        <v>ノアヴォク</v>
      </c>
      <c r="U235" s="1"/>
    </row>
    <row r="236" spans="1:21" x14ac:dyDescent="0.45">
      <c r="A236">
        <v>234</v>
      </c>
      <c r="B236" s="16">
        <v>46043</v>
      </c>
      <c r="C236" s="1" t="s">
        <v>35</v>
      </c>
      <c r="D236" s="1" t="s">
        <v>85</v>
      </c>
      <c r="E236" s="1" t="s">
        <v>57</v>
      </c>
      <c r="F236" s="1" t="s">
        <v>3</v>
      </c>
      <c r="G236" s="1" t="s">
        <v>52</v>
      </c>
      <c r="H236" s="1">
        <v>1</v>
      </c>
      <c r="I236">
        <v>0</v>
      </c>
      <c r="J236" s="1" t="str" cm="1">
        <f t="array" ref="J236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236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236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236" s="1" t="str" cm="1">
        <f t="array" ref="M236">_xlfn.XLOOKUP(TEXT(_不良集計ゾーン別ADO[[#This Row],[番号]],"@"),TEXT(_番号ADO[番号],"@"),_番号ADO[発生],"",0,1)</f>
        <v>成形</v>
      </c>
      <c r="N236" s="1" t="str">
        <f>_xlfn.IFS(MID(_不良集計ゾーン別ADO[[#This Row],[品番]],3,2)="Fr","Fr",MID(_不良集計ゾーン別ADO[[#This Row],[品番]],3,2)="Rr","Rr",TRUE,"")</f>
        <v>Fr</v>
      </c>
      <c r="O236" s="1" t="str">
        <f>IF(ISBLANK(_不良集計ゾーン別ADO[[#This Row],[品番]]),"",RIGHT(_不良集計ゾーン別ADO[[#This Row],[品番]],2))</f>
        <v>LH</v>
      </c>
      <c r="P236" s="1" t="str">
        <f>_xlfn.IFS(LEFT(_不良集計ゾーン別ADO[[#This Row],[品番]],2)="アル","アルヴェル",LEFT(_不良集計ゾーン別ADO[[#This Row],[品番]],2)="ノア","ノアヴォク",TRUE,"")</f>
        <v>ノアヴォク</v>
      </c>
      <c r="U236" s="1"/>
    </row>
    <row r="237" spans="1:21" x14ac:dyDescent="0.45">
      <c r="A237">
        <v>235</v>
      </c>
      <c r="B237" s="16">
        <v>46043</v>
      </c>
      <c r="C237" s="1" t="s">
        <v>35</v>
      </c>
      <c r="D237" s="1" t="s">
        <v>85</v>
      </c>
      <c r="E237" s="1" t="s">
        <v>57</v>
      </c>
      <c r="F237" s="1" t="s">
        <v>2</v>
      </c>
      <c r="G237" s="1" t="s">
        <v>96</v>
      </c>
      <c r="H237" s="1">
        <v>2</v>
      </c>
      <c r="I237">
        <v>0</v>
      </c>
      <c r="J237" s="1" t="str" cm="1">
        <f t="array" ref="J237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打出し不良</v>
      </c>
      <c r="K237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打出し不良</v>
      </c>
      <c r="L237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237" s="1" t="str" cm="1">
        <f t="array" ref="M237">_xlfn.XLOOKUP(TEXT(_不良集計ゾーン別ADO[[#This Row],[番号]],"@"),TEXT(_番号ADO[番号],"@"),_番号ADO[発生],"",0,1)</f>
        <v>成形</v>
      </c>
      <c r="N237" s="1" t="str">
        <f>_xlfn.IFS(MID(_不良集計ゾーン別ADO[[#This Row],[品番]],3,2)="Fr","Fr",MID(_不良集計ゾーン別ADO[[#This Row],[品番]],3,2)="Rr","Rr",TRUE,"")</f>
        <v>Fr</v>
      </c>
      <c r="O237" s="1" t="str">
        <f>IF(ISBLANK(_不良集計ゾーン別ADO[[#This Row],[品番]]),"",RIGHT(_不良集計ゾーン別ADO[[#This Row],[品番]],2))</f>
        <v>LH</v>
      </c>
      <c r="P237" s="1" t="str">
        <f>_xlfn.IFS(LEFT(_不良集計ゾーン別ADO[[#This Row],[品番]],2)="アル","アルヴェル",LEFT(_不良集計ゾーン別ADO[[#This Row],[品番]],2)="ノア","ノアヴォク",TRUE,"")</f>
        <v>ノアヴォク</v>
      </c>
      <c r="U237" s="1"/>
    </row>
    <row r="238" spans="1:21" x14ac:dyDescent="0.45">
      <c r="A238">
        <v>236</v>
      </c>
      <c r="B238" s="16">
        <v>46043</v>
      </c>
      <c r="C238" s="1" t="s">
        <v>35</v>
      </c>
      <c r="D238" s="1" t="s">
        <v>85</v>
      </c>
      <c r="E238" s="1" t="s">
        <v>57</v>
      </c>
      <c r="F238" s="1" t="s">
        <v>2</v>
      </c>
      <c r="G238" s="1" t="s">
        <v>71</v>
      </c>
      <c r="H238" s="1">
        <v>2</v>
      </c>
      <c r="I238">
        <v>0</v>
      </c>
      <c r="J238" s="1" t="str" cm="1">
        <f t="array" ref="J238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糸引き</v>
      </c>
      <c r="K238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糸引き</v>
      </c>
      <c r="L238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238" s="1" t="str" cm="1">
        <f t="array" ref="M238">_xlfn.XLOOKUP(TEXT(_不良集計ゾーン別ADO[[#This Row],[番号]],"@"),TEXT(_番号ADO[番号],"@"),_番号ADO[発生],"",0,1)</f>
        <v>成形</v>
      </c>
      <c r="N238" s="1" t="str">
        <f>_xlfn.IFS(MID(_不良集計ゾーン別ADO[[#This Row],[品番]],3,2)="Fr","Fr",MID(_不良集計ゾーン別ADO[[#This Row],[品番]],3,2)="Rr","Rr",TRUE,"")</f>
        <v>Fr</v>
      </c>
      <c r="O238" s="1" t="str">
        <f>IF(ISBLANK(_不良集計ゾーン別ADO[[#This Row],[品番]]),"",RIGHT(_不良集計ゾーン別ADO[[#This Row],[品番]],2))</f>
        <v>LH</v>
      </c>
      <c r="P238" s="1" t="str">
        <f>_xlfn.IFS(LEFT(_不良集計ゾーン別ADO[[#This Row],[品番]],2)="アル","アルヴェル",LEFT(_不良集計ゾーン別ADO[[#This Row],[品番]],2)="ノア","ノアヴォク",TRUE,"")</f>
        <v>ノアヴォク</v>
      </c>
      <c r="U238" s="1"/>
    </row>
    <row r="239" spans="1:21" x14ac:dyDescent="0.45">
      <c r="A239">
        <v>237</v>
      </c>
      <c r="B239" s="16">
        <v>46043</v>
      </c>
      <c r="C239" s="1" t="s">
        <v>35</v>
      </c>
      <c r="D239" s="1" t="s">
        <v>85</v>
      </c>
      <c r="E239" s="1" t="s">
        <v>57</v>
      </c>
      <c r="F239" s="1" t="s">
        <v>1</v>
      </c>
      <c r="G239" s="1" t="s">
        <v>52</v>
      </c>
      <c r="H239" s="1">
        <v>1</v>
      </c>
      <c r="I239">
        <v>0</v>
      </c>
      <c r="J239" s="1" t="str" cm="1">
        <f t="array" ref="J239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239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239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239" s="1" t="str" cm="1">
        <f t="array" ref="M239">_xlfn.XLOOKUP(TEXT(_不良集計ゾーン別ADO[[#This Row],[番号]],"@"),TEXT(_番号ADO[番号],"@"),_番号ADO[発生],"",0,1)</f>
        <v>成形</v>
      </c>
      <c r="N239" s="1" t="str">
        <f>_xlfn.IFS(MID(_不良集計ゾーン別ADO[[#This Row],[品番]],3,2)="Fr","Fr",MID(_不良集計ゾーン別ADO[[#This Row],[品番]],3,2)="Rr","Rr",TRUE,"")</f>
        <v>Fr</v>
      </c>
      <c r="O239" s="1" t="str">
        <f>IF(ISBLANK(_不良集計ゾーン別ADO[[#This Row],[品番]]),"",RIGHT(_不良集計ゾーン別ADO[[#This Row],[品番]],2))</f>
        <v>LH</v>
      </c>
      <c r="P239" s="1" t="str">
        <f>_xlfn.IFS(LEFT(_不良集計ゾーン別ADO[[#This Row],[品番]],2)="アル","アルヴェル",LEFT(_不良集計ゾーン別ADO[[#This Row],[品番]],2)="ノア","ノアヴォク",TRUE,"")</f>
        <v>ノアヴォク</v>
      </c>
      <c r="U239" s="1"/>
    </row>
    <row r="240" spans="1:21" x14ac:dyDescent="0.45">
      <c r="A240">
        <v>238</v>
      </c>
      <c r="B240" s="16">
        <v>46043</v>
      </c>
      <c r="C240" s="1" t="s">
        <v>41</v>
      </c>
      <c r="D240" s="1" t="s">
        <v>85</v>
      </c>
      <c r="E240" s="1" t="s">
        <v>57</v>
      </c>
      <c r="F240" s="1" t="s">
        <v>2</v>
      </c>
      <c r="G240" s="1" t="s">
        <v>96</v>
      </c>
      <c r="H240" s="1">
        <v>2</v>
      </c>
      <c r="I240">
        <v>0</v>
      </c>
      <c r="J240" s="1" t="str" cm="1">
        <f t="array" ref="J240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打出し不良</v>
      </c>
      <c r="K240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打出し不良</v>
      </c>
      <c r="L240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240" s="1" t="str" cm="1">
        <f t="array" ref="M240">_xlfn.XLOOKUP(TEXT(_不良集計ゾーン別ADO[[#This Row],[番号]],"@"),TEXT(_番号ADO[番号],"@"),_番号ADO[発生],"",0,1)</f>
        <v>成形</v>
      </c>
      <c r="N240" s="1" t="str">
        <f>_xlfn.IFS(MID(_不良集計ゾーン別ADO[[#This Row],[品番]],3,2)="Fr","Fr",MID(_不良集計ゾーン別ADO[[#This Row],[品番]],3,2)="Rr","Rr",TRUE,"")</f>
        <v>Fr</v>
      </c>
      <c r="O240" s="1" t="str">
        <f>IF(ISBLANK(_不良集計ゾーン別ADO[[#This Row],[品番]]),"",RIGHT(_不良集計ゾーン別ADO[[#This Row],[品番]],2))</f>
        <v>RH</v>
      </c>
      <c r="P240" s="1" t="str">
        <f>_xlfn.IFS(LEFT(_不良集計ゾーン別ADO[[#This Row],[品番]],2)="アル","アルヴェル",LEFT(_不良集計ゾーン別ADO[[#This Row],[品番]],2)="ノア","ノアヴォク",TRUE,"")</f>
        <v>ノアヴォク</v>
      </c>
      <c r="U240" s="1"/>
    </row>
    <row r="241" spans="1:21" x14ac:dyDescent="0.45">
      <c r="A241">
        <v>239</v>
      </c>
      <c r="B241" s="16">
        <v>46043</v>
      </c>
      <c r="C241" s="1" t="s">
        <v>41</v>
      </c>
      <c r="D241" s="1" t="s">
        <v>85</v>
      </c>
      <c r="E241" s="1" t="s">
        <v>57</v>
      </c>
      <c r="F241" s="1" t="s">
        <v>2</v>
      </c>
      <c r="G241" s="1" t="s">
        <v>52</v>
      </c>
      <c r="H241" s="1">
        <v>2</v>
      </c>
      <c r="I241">
        <v>0</v>
      </c>
      <c r="J241" s="1" t="str" cm="1">
        <f t="array" ref="J241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241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241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成形</v>
      </c>
      <c r="M241" s="1" t="str" cm="1">
        <f t="array" ref="M241">_xlfn.XLOOKUP(TEXT(_不良集計ゾーン別ADO[[#This Row],[番号]],"@"),TEXT(_番号ADO[番号],"@"),_番号ADO[発生],"",0,1)</f>
        <v>成形</v>
      </c>
      <c r="N241" s="1" t="str">
        <f>_xlfn.IFS(MID(_不良集計ゾーン別ADO[[#This Row],[品番]],3,2)="Fr","Fr",MID(_不良集計ゾーン別ADO[[#This Row],[品番]],3,2)="Rr","Rr",TRUE,"")</f>
        <v>Fr</v>
      </c>
      <c r="O241" s="1" t="str">
        <f>IF(ISBLANK(_不良集計ゾーン別ADO[[#This Row],[品番]]),"",RIGHT(_不良集計ゾーン別ADO[[#This Row],[品番]],2))</f>
        <v>RH</v>
      </c>
      <c r="P241" s="1" t="str">
        <f>_xlfn.IFS(LEFT(_不良集計ゾーン別ADO[[#This Row],[品番]],2)="アル","アルヴェル",LEFT(_不良集計ゾーン別ADO[[#This Row],[品番]],2)="ノア","ノアヴォク",TRUE,"")</f>
        <v>ノアヴォク</v>
      </c>
      <c r="U241" s="1"/>
    </row>
    <row r="242" spans="1:21" x14ac:dyDescent="0.45">
      <c r="A242">
        <v>240</v>
      </c>
      <c r="B242" s="16">
        <v>46038</v>
      </c>
      <c r="C242" s="1" t="s">
        <v>35</v>
      </c>
      <c r="D242" s="1" t="s">
        <v>106</v>
      </c>
      <c r="E242" s="1" t="s">
        <v>55</v>
      </c>
      <c r="F242" s="1" t="s">
        <v>0</v>
      </c>
      <c r="G242" s="1" t="s">
        <v>80</v>
      </c>
      <c r="H242" s="1">
        <v>1</v>
      </c>
      <c r="I242">
        <v>0</v>
      </c>
      <c r="J242" s="1" t="str" cm="1">
        <f t="array" ref="J242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マット</v>
      </c>
      <c r="K242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マット</v>
      </c>
      <c r="L242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塗装</v>
      </c>
      <c r="M242" s="1" t="str" cm="1">
        <f t="array" ref="M242">_xlfn.XLOOKUP(TEXT(_不良集計ゾーン別ADO[[#This Row],[番号]],"@"),TEXT(_番号ADO[番号],"@"),_番号ADO[発生],"",0,1)</f>
        <v>塗装</v>
      </c>
      <c r="N242" s="1" t="str">
        <f>_xlfn.IFS(MID(_不良集計ゾーン別ADO[[#This Row],[品番]],3,2)="Fr","Fr",MID(_不良集計ゾーン別ADO[[#This Row],[品番]],3,2)="Rr","Rr",TRUE,"")</f>
        <v>Fr</v>
      </c>
      <c r="O242" s="1" t="str">
        <f>IF(ISBLANK(_不良集計ゾーン別ADO[[#This Row],[品番]]),"",RIGHT(_不良集計ゾーン別ADO[[#This Row],[品番]],2))</f>
        <v>LH</v>
      </c>
      <c r="P242" s="1" t="str">
        <f>_xlfn.IFS(LEFT(_不良集計ゾーン別ADO[[#This Row],[品番]],2)="アル","アルヴェル",LEFT(_不良集計ゾーン別ADO[[#This Row],[品番]],2)="ノア","ノアヴォク",TRUE,"")</f>
        <v>ノアヴォク</v>
      </c>
      <c r="U242" s="1"/>
    </row>
    <row r="243" spans="1:21" x14ac:dyDescent="0.45">
      <c r="A243">
        <v>241</v>
      </c>
      <c r="B243" s="16">
        <v>46041</v>
      </c>
      <c r="C243" s="1" t="s">
        <v>43</v>
      </c>
      <c r="D243" s="1" t="s">
        <v>102</v>
      </c>
      <c r="E243" s="1" t="s">
        <v>55</v>
      </c>
      <c r="F243" s="1" t="s">
        <v>4</v>
      </c>
      <c r="G243" s="1" t="s">
        <v>62</v>
      </c>
      <c r="H243" s="1">
        <v>1</v>
      </c>
      <c r="I243">
        <v>0</v>
      </c>
      <c r="J243" s="1" t="str" cm="1">
        <f t="array" ref="J243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塗装異物</v>
      </c>
      <c r="K243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塗装異物</v>
      </c>
      <c r="L243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塗装</v>
      </c>
      <c r="M243" s="1" t="str" cm="1">
        <f t="array" ref="M243">_xlfn.XLOOKUP(TEXT(_不良集計ゾーン別ADO[[#This Row],[番号]],"@"),TEXT(_番号ADO[番号],"@"),_番号ADO[発生],"",0,1)</f>
        <v>塗装</v>
      </c>
      <c r="N243" s="1" t="str">
        <f>_xlfn.IFS(MID(_不良集計ゾーン別ADO[[#This Row],[品番]],3,2)="Fr","Fr",MID(_不良集計ゾーン別ADO[[#This Row],[品番]],3,2)="Rr","Rr",TRUE,"")</f>
        <v>Rr</v>
      </c>
      <c r="O243" s="1" t="str">
        <f>IF(ISBLANK(_不良集計ゾーン別ADO[[#This Row],[品番]]),"",RIGHT(_不良集計ゾーン別ADO[[#This Row],[品番]],2))</f>
        <v>RH</v>
      </c>
      <c r="P243" s="1" t="str">
        <f>_xlfn.IFS(LEFT(_不良集計ゾーン別ADO[[#This Row],[品番]],2)="アル","アルヴェル",LEFT(_不良集計ゾーン別ADO[[#This Row],[品番]],2)="ノア","ノアヴォク",TRUE,"")</f>
        <v>ノアヴォク</v>
      </c>
      <c r="U243" s="1"/>
    </row>
    <row r="244" spans="1:21" x14ac:dyDescent="0.45">
      <c r="A244">
        <v>242</v>
      </c>
      <c r="B244" s="16">
        <v>46042</v>
      </c>
      <c r="C244" s="1" t="s">
        <v>41</v>
      </c>
      <c r="D244" s="1" t="s">
        <v>107</v>
      </c>
      <c r="E244" s="1" t="s">
        <v>55</v>
      </c>
      <c r="F244" s="1" t="s">
        <v>0</v>
      </c>
      <c r="G244" s="1" t="s">
        <v>80</v>
      </c>
      <c r="H244" s="1">
        <v>2</v>
      </c>
      <c r="I244">
        <v>0</v>
      </c>
      <c r="J244" s="1" t="str" cm="1">
        <f t="array" ref="J244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マット</v>
      </c>
      <c r="K244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マット</v>
      </c>
      <c r="L244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塗装</v>
      </c>
      <c r="M244" s="1" t="str" cm="1">
        <f t="array" ref="M244">_xlfn.XLOOKUP(TEXT(_不良集計ゾーン別ADO[[#This Row],[番号]],"@"),TEXT(_番号ADO[番号],"@"),_番号ADO[発生],"",0,1)</f>
        <v>塗装</v>
      </c>
      <c r="N244" s="1" t="str">
        <f>_xlfn.IFS(MID(_不良集計ゾーン別ADO[[#This Row],[品番]],3,2)="Fr","Fr",MID(_不良集計ゾーン別ADO[[#This Row],[品番]],3,2)="Rr","Rr",TRUE,"")</f>
        <v>Fr</v>
      </c>
      <c r="O244" s="1" t="str">
        <f>IF(ISBLANK(_不良集計ゾーン別ADO[[#This Row],[品番]]),"",RIGHT(_不良集計ゾーン別ADO[[#This Row],[品番]],2))</f>
        <v>RH</v>
      </c>
      <c r="P244" s="1" t="str">
        <f>_xlfn.IFS(LEFT(_不良集計ゾーン別ADO[[#This Row],[品番]],2)="アル","アルヴェル",LEFT(_不良集計ゾーン別ADO[[#This Row],[品番]],2)="ノア","ノアヴォク",TRUE,"")</f>
        <v>ノアヴォク</v>
      </c>
      <c r="U244" s="1"/>
    </row>
    <row r="245" spans="1:21" x14ac:dyDescent="0.45">
      <c r="A245">
        <v>243</v>
      </c>
      <c r="B245" s="16">
        <v>46042</v>
      </c>
      <c r="C245" s="1" t="s">
        <v>42</v>
      </c>
      <c r="D245" s="1" t="s">
        <v>107</v>
      </c>
      <c r="E245" s="1" t="s">
        <v>55</v>
      </c>
      <c r="F245" s="1" t="s">
        <v>2</v>
      </c>
      <c r="G245" s="1" t="s">
        <v>72</v>
      </c>
      <c r="H245" s="1">
        <v>1</v>
      </c>
      <c r="I245">
        <v>0</v>
      </c>
      <c r="J245" s="1" t="str" cm="1">
        <f t="array" ref="J245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シルバー</v>
      </c>
      <c r="K245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シルバー</v>
      </c>
      <c r="L245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塗装</v>
      </c>
      <c r="M245" s="1" t="str" cm="1">
        <f t="array" ref="M245">_xlfn.XLOOKUP(TEXT(_不良集計ゾーン別ADO[[#This Row],[番号]],"@"),TEXT(_番号ADO[番号],"@"),_番号ADO[発生],"",0,1)</f>
        <v>成形</v>
      </c>
      <c r="N245" s="1" t="str">
        <f>_xlfn.IFS(MID(_不良集計ゾーン別ADO[[#This Row],[品番]],3,2)="Fr","Fr",MID(_不良集計ゾーン別ADO[[#This Row],[品番]],3,2)="Rr","Rr",TRUE,"")</f>
        <v>Rr</v>
      </c>
      <c r="O245" s="1" t="str">
        <f>IF(ISBLANK(_不良集計ゾーン別ADO[[#This Row],[品番]]),"",RIGHT(_不良集計ゾーン別ADO[[#This Row],[品番]],2))</f>
        <v>LH</v>
      </c>
      <c r="P245" s="1" t="str">
        <f>_xlfn.IFS(LEFT(_不良集計ゾーン別ADO[[#This Row],[品番]],2)="アル","アルヴェル",LEFT(_不良集計ゾーン別ADO[[#This Row],[品番]],2)="ノア","ノアヴォク",TRUE,"")</f>
        <v>ノアヴォク</v>
      </c>
      <c r="U245" s="1"/>
    </row>
    <row r="246" spans="1:21" x14ac:dyDescent="0.45">
      <c r="A246">
        <v>244</v>
      </c>
      <c r="B246" s="16">
        <v>46042</v>
      </c>
      <c r="C246" s="1" t="s">
        <v>43</v>
      </c>
      <c r="D246" s="1" t="s">
        <v>107</v>
      </c>
      <c r="E246" s="1" t="s">
        <v>55</v>
      </c>
      <c r="F246" s="1" t="s">
        <v>4</v>
      </c>
      <c r="G246" s="1" t="s">
        <v>80</v>
      </c>
      <c r="H246" s="1">
        <v>1</v>
      </c>
      <c r="I246">
        <v>0</v>
      </c>
      <c r="J246" s="1" t="str" cm="1">
        <f t="array" ref="J246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マット</v>
      </c>
      <c r="K246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マット</v>
      </c>
      <c r="L246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塗装</v>
      </c>
      <c r="M246" s="1" t="str" cm="1">
        <f t="array" ref="M246">_xlfn.XLOOKUP(TEXT(_不良集計ゾーン別ADO[[#This Row],[番号]],"@"),TEXT(_番号ADO[番号],"@"),_番号ADO[発生],"",0,1)</f>
        <v>塗装</v>
      </c>
      <c r="N246" s="1" t="str">
        <f>_xlfn.IFS(MID(_不良集計ゾーン別ADO[[#This Row],[品番]],3,2)="Fr","Fr",MID(_不良集計ゾーン別ADO[[#This Row],[品番]],3,2)="Rr","Rr",TRUE,"")</f>
        <v>Rr</v>
      </c>
      <c r="O246" s="1" t="str">
        <f>IF(ISBLANK(_不良集計ゾーン別ADO[[#This Row],[品番]]),"",RIGHT(_不良集計ゾーン別ADO[[#This Row],[品番]],2))</f>
        <v>RH</v>
      </c>
      <c r="P246" s="1" t="str">
        <f>_xlfn.IFS(LEFT(_不良集計ゾーン別ADO[[#This Row],[品番]],2)="アル","アルヴェル",LEFT(_不良集計ゾーン別ADO[[#This Row],[品番]],2)="ノア","ノアヴォク",TRUE,"")</f>
        <v>ノアヴォク</v>
      </c>
      <c r="U246" s="1"/>
    </row>
    <row r="247" spans="1:21" x14ac:dyDescent="0.45">
      <c r="A247">
        <v>245</v>
      </c>
      <c r="B247" s="16">
        <v>46043</v>
      </c>
      <c r="C247" s="1" t="s">
        <v>35</v>
      </c>
      <c r="D247" s="1" t="s">
        <v>76</v>
      </c>
      <c r="E247" s="1" t="s">
        <v>55</v>
      </c>
      <c r="F247" s="1" t="s">
        <v>0</v>
      </c>
      <c r="G247" s="1" t="s">
        <v>80</v>
      </c>
      <c r="H247" s="1">
        <v>2</v>
      </c>
      <c r="I247">
        <v>0</v>
      </c>
      <c r="J247" s="1" t="str" cm="1">
        <f t="array" ref="J247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マット</v>
      </c>
      <c r="K247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マット</v>
      </c>
      <c r="L247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塗装</v>
      </c>
      <c r="M247" s="1" t="str" cm="1">
        <f t="array" ref="M247">_xlfn.XLOOKUP(TEXT(_不良集計ゾーン別ADO[[#This Row],[番号]],"@"),TEXT(_番号ADO[番号],"@"),_番号ADO[発生],"",0,1)</f>
        <v>塗装</v>
      </c>
      <c r="N247" s="1" t="str">
        <f>_xlfn.IFS(MID(_不良集計ゾーン別ADO[[#This Row],[品番]],3,2)="Fr","Fr",MID(_不良集計ゾーン別ADO[[#This Row],[品番]],3,2)="Rr","Rr",TRUE,"")</f>
        <v>Fr</v>
      </c>
      <c r="O247" s="1" t="str">
        <f>IF(ISBLANK(_不良集計ゾーン別ADO[[#This Row],[品番]]),"",RIGHT(_不良集計ゾーン別ADO[[#This Row],[品番]],2))</f>
        <v>LH</v>
      </c>
      <c r="P247" s="1" t="str">
        <f>_xlfn.IFS(LEFT(_不良集計ゾーン別ADO[[#This Row],[品番]],2)="アル","アルヴェル",LEFT(_不良集計ゾーン別ADO[[#This Row],[品番]],2)="ノア","ノアヴォク",TRUE,"")</f>
        <v>ノアヴォク</v>
      </c>
      <c r="U247" s="1"/>
    </row>
    <row r="248" spans="1:21" x14ac:dyDescent="0.45">
      <c r="A248">
        <v>246</v>
      </c>
      <c r="B248" s="16">
        <v>46041</v>
      </c>
      <c r="C248" s="1" t="s">
        <v>44</v>
      </c>
      <c r="D248" s="1" t="s">
        <v>105</v>
      </c>
      <c r="E248" s="1" t="s">
        <v>50</v>
      </c>
      <c r="F248" s="1" t="s">
        <v>3</v>
      </c>
      <c r="G248" s="1" t="s">
        <v>52</v>
      </c>
      <c r="H248" s="1">
        <v>1</v>
      </c>
      <c r="I248">
        <v>0</v>
      </c>
      <c r="J248" s="1" t="str" cm="1">
        <f t="array" ref="J248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248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248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モール</v>
      </c>
      <c r="M248" s="1" t="str" cm="1">
        <f t="array" ref="M248">_xlfn.XLOOKUP(TEXT(_不良集計ゾーン別ADO[[#This Row],[番号]],"@"),TEXT(_番号ADO[番号],"@"),_番号ADO[発生],"",0,1)</f>
        <v>成形</v>
      </c>
      <c r="N248" s="1" t="str">
        <f>_xlfn.IFS(MID(_不良集計ゾーン別ADO[[#This Row],[品番]],3,2)="Fr","Fr",MID(_不良集計ゾーン別ADO[[#This Row],[品番]],3,2)="Rr","Rr",TRUE,"")</f>
        <v>Fr</v>
      </c>
      <c r="O248" s="1" t="str">
        <f>IF(ISBLANK(_不良集計ゾーン別ADO[[#This Row],[品番]]),"",RIGHT(_不良集計ゾーン別ADO[[#This Row],[品番]],2))</f>
        <v>LH</v>
      </c>
      <c r="P248" s="1" t="str">
        <f>_xlfn.IFS(LEFT(_不良集計ゾーン別ADO[[#This Row],[品番]],2)="アル","アルヴェル",LEFT(_不良集計ゾーン別ADO[[#This Row],[品番]],2)="ノア","ノアヴォク",TRUE,"")</f>
        <v>アルヴェル</v>
      </c>
      <c r="U248" s="1"/>
    </row>
    <row r="249" spans="1:21" x14ac:dyDescent="0.45">
      <c r="A249">
        <v>247</v>
      </c>
      <c r="B249" s="16">
        <v>46042</v>
      </c>
      <c r="C249" s="1" t="s">
        <v>44</v>
      </c>
      <c r="D249" s="1" t="s">
        <v>181</v>
      </c>
      <c r="E249" s="1" t="s">
        <v>50</v>
      </c>
      <c r="F249" s="1" t="s">
        <v>2</v>
      </c>
      <c r="G249" s="1" t="s">
        <v>71</v>
      </c>
      <c r="H249" s="1">
        <v>1</v>
      </c>
      <c r="I249">
        <v>0</v>
      </c>
      <c r="J249" s="1" t="str" cm="1">
        <f t="array" ref="J249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糸引き</v>
      </c>
      <c r="K249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糸引き</v>
      </c>
      <c r="L249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モール</v>
      </c>
      <c r="M249" s="1" t="str" cm="1">
        <f t="array" ref="M249">_xlfn.XLOOKUP(TEXT(_不良集計ゾーン別ADO[[#This Row],[番号]],"@"),TEXT(_番号ADO[番号],"@"),_番号ADO[発生],"",0,1)</f>
        <v>成形</v>
      </c>
      <c r="N249" s="1" t="str">
        <f>_xlfn.IFS(MID(_不良集計ゾーン別ADO[[#This Row],[品番]],3,2)="Fr","Fr",MID(_不良集計ゾーン別ADO[[#This Row],[品番]],3,2)="Rr","Rr",TRUE,"")</f>
        <v>Fr</v>
      </c>
      <c r="O249" s="1" t="str">
        <f>IF(ISBLANK(_不良集計ゾーン別ADO[[#This Row],[品番]]),"",RIGHT(_不良集計ゾーン別ADO[[#This Row],[品番]],2))</f>
        <v>LH</v>
      </c>
      <c r="P249" s="1" t="str">
        <f>_xlfn.IFS(LEFT(_不良集計ゾーン別ADO[[#This Row],[品番]],2)="アル","アルヴェル",LEFT(_不良集計ゾーン別ADO[[#This Row],[品番]],2)="ノア","ノアヴォク",TRUE,"")</f>
        <v>アルヴェル</v>
      </c>
      <c r="U249" s="1"/>
    </row>
    <row r="250" spans="1:21" x14ac:dyDescent="0.45">
      <c r="A250">
        <v>248</v>
      </c>
      <c r="B250" s="16">
        <v>46042</v>
      </c>
      <c r="C250" s="1" t="s">
        <v>54</v>
      </c>
      <c r="D250" s="1" t="s">
        <v>181</v>
      </c>
      <c r="E250" s="1" t="s">
        <v>50</v>
      </c>
      <c r="F250" s="1" t="s">
        <v>1</v>
      </c>
      <c r="G250" s="1" t="s">
        <v>72</v>
      </c>
      <c r="H250" s="1">
        <v>1</v>
      </c>
      <c r="I250">
        <v>0</v>
      </c>
      <c r="J250" s="1" t="str" cm="1">
        <f t="array" ref="J250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シルバー</v>
      </c>
      <c r="K250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シルバー</v>
      </c>
      <c r="L250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モール</v>
      </c>
      <c r="M250" s="1" t="str" cm="1">
        <f t="array" ref="M250">_xlfn.XLOOKUP(TEXT(_不良集計ゾーン別ADO[[#This Row],[番号]],"@"),TEXT(_番号ADO[番号],"@"),_番号ADO[発生],"",0,1)</f>
        <v>成形</v>
      </c>
      <c r="N250" s="1" t="str">
        <f>_xlfn.IFS(MID(_不良集計ゾーン別ADO[[#This Row],[品番]],3,2)="Fr","Fr",MID(_不良集計ゾーン別ADO[[#This Row],[品番]],3,2)="Rr","Rr",TRUE,"")</f>
        <v>Fr</v>
      </c>
      <c r="O250" s="1" t="str">
        <f>IF(ISBLANK(_不良集計ゾーン別ADO[[#This Row],[品番]]),"",RIGHT(_不良集計ゾーン別ADO[[#This Row],[品番]],2))</f>
        <v>RH</v>
      </c>
      <c r="P250" s="1" t="str">
        <f>_xlfn.IFS(LEFT(_不良集計ゾーン別ADO[[#This Row],[品番]],2)="アル","アルヴェル",LEFT(_不良集計ゾーン別ADO[[#This Row],[品番]],2)="ノア","ノアヴォク",TRUE,"")</f>
        <v>アルヴェル</v>
      </c>
      <c r="U250" s="1"/>
    </row>
    <row r="251" spans="1:21" x14ac:dyDescent="0.45">
      <c r="A251">
        <v>249</v>
      </c>
      <c r="B251" s="16">
        <v>46042</v>
      </c>
      <c r="C251" s="1" t="s">
        <v>49</v>
      </c>
      <c r="D251" s="1" t="s">
        <v>181</v>
      </c>
      <c r="E251" s="1" t="s">
        <v>50</v>
      </c>
      <c r="F251" s="1" t="s">
        <v>4</v>
      </c>
      <c r="G251" s="1" t="s">
        <v>45</v>
      </c>
      <c r="H251" s="1">
        <v>1</v>
      </c>
      <c r="I251">
        <v>0</v>
      </c>
      <c r="J251" s="1" t="str" cm="1">
        <f t="array" ref="J251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SUSキズ</v>
      </c>
      <c r="K251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SUSキズ</v>
      </c>
      <c r="L251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モール</v>
      </c>
      <c r="M251" s="1" t="str" cm="1">
        <f t="array" ref="M251">_xlfn.XLOOKUP(TEXT(_不良集計ゾーン別ADO[[#This Row],[番号]],"@"),TEXT(_番号ADO[番号],"@"),_番号ADO[発生],"",0,1)</f>
        <v>モール</v>
      </c>
      <c r="N251" s="1" t="str">
        <f>_xlfn.IFS(MID(_不良集計ゾーン別ADO[[#This Row],[品番]],3,2)="Fr","Fr",MID(_不良集計ゾーン別ADO[[#This Row],[品番]],3,2)="Rr","Rr",TRUE,"")</f>
        <v>Rr</v>
      </c>
      <c r="O251" s="1" t="str">
        <f>IF(ISBLANK(_不良集計ゾーン別ADO[[#This Row],[品番]]),"",RIGHT(_不良集計ゾーン別ADO[[#This Row],[品番]],2))</f>
        <v>RH</v>
      </c>
      <c r="P251" s="1" t="str">
        <f>_xlfn.IFS(LEFT(_不良集計ゾーン別ADO[[#This Row],[品番]],2)="アル","アルヴェル",LEFT(_不良集計ゾーン別ADO[[#This Row],[品番]],2)="ノア","ノアヴォク",TRUE,"")</f>
        <v>アルヴェル</v>
      </c>
      <c r="U251" s="1"/>
    </row>
    <row r="252" spans="1:21" x14ac:dyDescent="0.45">
      <c r="A252">
        <v>250</v>
      </c>
      <c r="B252" s="16">
        <v>46043</v>
      </c>
      <c r="C252" s="1" t="s">
        <v>44</v>
      </c>
      <c r="D252" s="1" t="s">
        <v>197</v>
      </c>
      <c r="E252" s="1" t="s">
        <v>50</v>
      </c>
      <c r="F252" s="1" t="s">
        <v>1</v>
      </c>
      <c r="G252" s="1" t="s">
        <v>72</v>
      </c>
      <c r="H252" s="1">
        <v>3</v>
      </c>
      <c r="I252">
        <v>0</v>
      </c>
      <c r="J252" s="1" t="str" cm="1">
        <f t="array" ref="J252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シルバー</v>
      </c>
      <c r="K252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シルバー</v>
      </c>
      <c r="L252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モール</v>
      </c>
      <c r="M252" s="1" t="str" cm="1">
        <f t="array" ref="M252">_xlfn.XLOOKUP(TEXT(_不良集計ゾーン別ADO[[#This Row],[番号]],"@"),TEXT(_番号ADO[番号],"@"),_番号ADO[発生],"",0,1)</f>
        <v>成形</v>
      </c>
      <c r="N252" s="1" t="str">
        <f>_xlfn.IFS(MID(_不良集計ゾーン別ADO[[#This Row],[品番]],3,2)="Fr","Fr",MID(_不良集計ゾーン別ADO[[#This Row],[品番]],3,2)="Rr","Rr",TRUE,"")</f>
        <v>Fr</v>
      </c>
      <c r="O252" s="1" t="str">
        <f>IF(ISBLANK(_不良集計ゾーン別ADO[[#This Row],[品番]]),"",RIGHT(_不良集計ゾーン別ADO[[#This Row],[品番]],2))</f>
        <v>LH</v>
      </c>
      <c r="P252" s="1" t="str">
        <f>_xlfn.IFS(LEFT(_不良集計ゾーン別ADO[[#This Row],[品番]],2)="アル","アルヴェル",LEFT(_不良集計ゾーン別ADO[[#This Row],[品番]],2)="ノア","ノアヴォク",TRUE,"")</f>
        <v>アルヴェル</v>
      </c>
      <c r="U252" s="1"/>
    </row>
    <row r="253" spans="1:21" x14ac:dyDescent="0.45">
      <c r="A253">
        <v>251</v>
      </c>
      <c r="B253" s="16">
        <v>46043</v>
      </c>
      <c r="C253" s="1" t="s">
        <v>44</v>
      </c>
      <c r="D253" s="1" t="s">
        <v>197</v>
      </c>
      <c r="E253" s="1" t="s">
        <v>50</v>
      </c>
      <c r="F253" s="1" t="s">
        <v>0</v>
      </c>
      <c r="G253" s="1" t="s">
        <v>45</v>
      </c>
      <c r="H253" s="1">
        <v>1</v>
      </c>
      <c r="I253">
        <v>0</v>
      </c>
      <c r="J253" s="1" t="str" cm="1">
        <f t="array" ref="J253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SUSキズ</v>
      </c>
      <c r="K253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SUSキズ</v>
      </c>
      <c r="L253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モール</v>
      </c>
      <c r="M253" s="1" t="str" cm="1">
        <f t="array" ref="M253">_xlfn.XLOOKUP(TEXT(_不良集計ゾーン別ADO[[#This Row],[番号]],"@"),TEXT(_番号ADO[番号],"@"),_番号ADO[発生],"",0,1)</f>
        <v>モール</v>
      </c>
      <c r="N253" s="1" t="str">
        <f>_xlfn.IFS(MID(_不良集計ゾーン別ADO[[#This Row],[品番]],3,2)="Fr","Fr",MID(_不良集計ゾーン別ADO[[#This Row],[品番]],3,2)="Rr","Rr",TRUE,"")</f>
        <v>Fr</v>
      </c>
      <c r="O253" s="1" t="str">
        <f>IF(ISBLANK(_不良集計ゾーン別ADO[[#This Row],[品番]]),"",RIGHT(_不良集計ゾーン別ADO[[#This Row],[品番]],2))</f>
        <v>LH</v>
      </c>
      <c r="P253" s="1" t="str">
        <f>_xlfn.IFS(LEFT(_不良集計ゾーン別ADO[[#This Row],[品番]],2)="アル","アルヴェル",LEFT(_不良集計ゾーン別ADO[[#This Row],[品番]],2)="ノア","ノアヴォク",TRUE,"")</f>
        <v>アルヴェル</v>
      </c>
      <c r="U253" s="1"/>
    </row>
    <row r="254" spans="1:21" x14ac:dyDescent="0.45">
      <c r="A254">
        <v>252</v>
      </c>
      <c r="B254" s="16">
        <v>46043</v>
      </c>
      <c r="C254" s="1" t="s">
        <v>44</v>
      </c>
      <c r="D254" s="1" t="s">
        <v>197</v>
      </c>
      <c r="E254" s="1" t="s">
        <v>50</v>
      </c>
      <c r="F254" s="1" t="s">
        <v>0</v>
      </c>
      <c r="G254" s="1" t="s">
        <v>52</v>
      </c>
      <c r="H254" s="1">
        <v>3</v>
      </c>
      <c r="I254">
        <v>0</v>
      </c>
      <c r="J254" s="1" t="str" cm="1">
        <f t="array" ref="J254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254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254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モール</v>
      </c>
      <c r="M254" s="1" t="str" cm="1">
        <f t="array" ref="M254">_xlfn.XLOOKUP(TEXT(_不良集計ゾーン別ADO[[#This Row],[番号]],"@"),TEXT(_番号ADO[番号],"@"),_番号ADO[発生],"",0,1)</f>
        <v>成形</v>
      </c>
      <c r="N254" s="1" t="str">
        <f>_xlfn.IFS(MID(_不良集計ゾーン別ADO[[#This Row],[品番]],3,2)="Fr","Fr",MID(_不良集計ゾーン別ADO[[#This Row],[品番]],3,2)="Rr","Rr",TRUE,"")</f>
        <v>Fr</v>
      </c>
      <c r="O254" s="1" t="str">
        <f>IF(ISBLANK(_不良集計ゾーン別ADO[[#This Row],[品番]]),"",RIGHT(_不良集計ゾーン別ADO[[#This Row],[品番]],2))</f>
        <v>LH</v>
      </c>
      <c r="P254" s="1" t="str">
        <f>_xlfn.IFS(LEFT(_不良集計ゾーン別ADO[[#This Row],[品番]],2)="アル","アルヴェル",LEFT(_不良集計ゾーン別ADO[[#This Row],[品番]],2)="ノア","ノアヴォク",TRUE,"")</f>
        <v>アルヴェル</v>
      </c>
      <c r="U254" s="1"/>
    </row>
    <row r="255" spans="1:21" x14ac:dyDescent="0.45">
      <c r="A255">
        <v>253</v>
      </c>
      <c r="B255" s="16">
        <v>46043</v>
      </c>
      <c r="C255" s="1" t="s">
        <v>54</v>
      </c>
      <c r="D255" s="1" t="s">
        <v>197</v>
      </c>
      <c r="E255" s="1" t="s">
        <v>50</v>
      </c>
      <c r="F255" s="1" t="s">
        <v>1</v>
      </c>
      <c r="G255" s="1" t="s">
        <v>58</v>
      </c>
      <c r="H255" s="1">
        <v>3</v>
      </c>
      <c r="I255">
        <v>0</v>
      </c>
      <c r="J255" s="1" t="str" cm="1">
        <f t="array" ref="J255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ゴミ押し</v>
      </c>
      <c r="K255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ゴミ押し</v>
      </c>
      <c r="L255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モール</v>
      </c>
      <c r="M255" s="1" t="str" cm="1">
        <f t="array" ref="M255">_xlfn.XLOOKUP(TEXT(_不良集計ゾーン別ADO[[#This Row],[番号]],"@"),TEXT(_番号ADO[番号],"@"),_番号ADO[発生],"",0,1)</f>
        <v>成形</v>
      </c>
      <c r="N255" s="1" t="str">
        <f>_xlfn.IFS(MID(_不良集計ゾーン別ADO[[#This Row],[品番]],3,2)="Fr","Fr",MID(_不良集計ゾーン別ADO[[#This Row],[品番]],3,2)="Rr","Rr",TRUE,"")</f>
        <v>Fr</v>
      </c>
      <c r="O255" s="1" t="str">
        <f>IF(ISBLANK(_不良集計ゾーン別ADO[[#This Row],[品番]]),"",RIGHT(_不良集計ゾーン別ADO[[#This Row],[品番]],2))</f>
        <v>RH</v>
      </c>
      <c r="P255" s="1" t="str">
        <f>_xlfn.IFS(LEFT(_不良集計ゾーン別ADO[[#This Row],[品番]],2)="アル","アルヴェル",LEFT(_不良集計ゾーン別ADO[[#This Row],[品番]],2)="ノア","ノアヴォク",TRUE,"")</f>
        <v>アルヴェル</v>
      </c>
      <c r="U255" s="1"/>
    </row>
    <row r="256" spans="1:21" x14ac:dyDescent="0.45">
      <c r="A256">
        <v>254</v>
      </c>
      <c r="B256" s="16">
        <v>46043</v>
      </c>
      <c r="C256" s="1" t="s">
        <v>49</v>
      </c>
      <c r="D256" s="1" t="s">
        <v>197</v>
      </c>
      <c r="E256" s="1" t="s">
        <v>50</v>
      </c>
      <c r="F256" s="1" t="s">
        <v>0</v>
      </c>
      <c r="G256" s="1" t="s">
        <v>52</v>
      </c>
      <c r="H256" s="1">
        <v>1</v>
      </c>
      <c r="I256">
        <v>0</v>
      </c>
      <c r="J256" s="1" t="str" cm="1">
        <f t="array" ref="J256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256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256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モール</v>
      </c>
      <c r="M256" s="1" t="str" cm="1">
        <f t="array" ref="M256">_xlfn.XLOOKUP(TEXT(_不良集計ゾーン別ADO[[#This Row],[番号]],"@"),TEXT(_番号ADO[番号],"@"),_番号ADO[発生],"",0,1)</f>
        <v>成形</v>
      </c>
      <c r="N256" s="1" t="str">
        <f>_xlfn.IFS(MID(_不良集計ゾーン別ADO[[#This Row],[品番]],3,2)="Fr","Fr",MID(_不良集計ゾーン別ADO[[#This Row],[品番]],3,2)="Rr","Rr",TRUE,"")</f>
        <v>Rr</v>
      </c>
      <c r="O256" s="1" t="str">
        <f>IF(ISBLANK(_不良集計ゾーン別ADO[[#This Row],[品番]]),"",RIGHT(_不良集計ゾーン別ADO[[#This Row],[品番]],2))</f>
        <v>RH</v>
      </c>
      <c r="P256" s="1" t="str">
        <f>_xlfn.IFS(LEFT(_不良集計ゾーン別ADO[[#This Row],[品番]],2)="アル","アルヴェル",LEFT(_不良集計ゾーン別ADO[[#This Row],[品番]],2)="ノア","ノアヴォク",TRUE,"")</f>
        <v>アルヴェル</v>
      </c>
      <c r="U256" s="1"/>
    </row>
    <row r="257" spans="1:21" x14ac:dyDescent="0.45">
      <c r="A257">
        <v>255</v>
      </c>
      <c r="B257" s="16">
        <v>46043</v>
      </c>
      <c r="C257" s="1" t="s">
        <v>49</v>
      </c>
      <c r="D257" s="1" t="s">
        <v>197</v>
      </c>
      <c r="E257" s="1" t="s">
        <v>50</v>
      </c>
      <c r="F257" s="1" t="s">
        <v>4</v>
      </c>
      <c r="G257" s="1" t="s">
        <v>52</v>
      </c>
      <c r="H257" s="1">
        <v>1</v>
      </c>
      <c r="I257">
        <v>0</v>
      </c>
      <c r="J257" s="1" t="str" cm="1">
        <f t="array" ref="J257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257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257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モール</v>
      </c>
      <c r="M257" s="1" t="str" cm="1">
        <f t="array" ref="M257">_xlfn.XLOOKUP(TEXT(_不良集計ゾーン別ADO[[#This Row],[番号]],"@"),TEXT(_番号ADO[番号],"@"),_番号ADO[発生],"",0,1)</f>
        <v>成形</v>
      </c>
      <c r="N257" s="1" t="str">
        <f>_xlfn.IFS(MID(_不良集計ゾーン別ADO[[#This Row],[品番]],3,2)="Fr","Fr",MID(_不良集計ゾーン別ADO[[#This Row],[品番]],3,2)="Rr","Rr",TRUE,"")</f>
        <v>Rr</v>
      </c>
      <c r="O257" s="1" t="str">
        <f>IF(ISBLANK(_不良集計ゾーン別ADO[[#This Row],[品番]]),"",RIGHT(_不良集計ゾーン別ADO[[#This Row],[品番]],2))</f>
        <v>RH</v>
      </c>
      <c r="P257" s="1" t="str">
        <f>_xlfn.IFS(LEFT(_不良集計ゾーン別ADO[[#This Row],[品番]],2)="アル","アルヴェル",LEFT(_不良集計ゾーン別ADO[[#This Row],[品番]],2)="ノア","ノアヴォク",TRUE,"")</f>
        <v>アルヴェル</v>
      </c>
      <c r="U257" s="1"/>
    </row>
    <row r="258" spans="1:21" x14ac:dyDescent="0.45">
      <c r="A258">
        <v>256</v>
      </c>
      <c r="B258" s="16">
        <v>46041</v>
      </c>
      <c r="C258" s="1" t="s">
        <v>41</v>
      </c>
      <c r="D258" s="1" t="s">
        <v>47</v>
      </c>
      <c r="E258" s="1" t="s">
        <v>36</v>
      </c>
      <c r="F258" s="1" t="s">
        <v>0</v>
      </c>
      <c r="G258" s="1" t="s">
        <v>52</v>
      </c>
      <c r="H258" s="1">
        <v>2</v>
      </c>
      <c r="I258">
        <v>0</v>
      </c>
      <c r="J258" s="1" t="str" cm="1">
        <f t="array" ref="J258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258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258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258" s="1" t="str" cm="1">
        <f t="array" ref="M258">_xlfn.XLOOKUP(TEXT(_不良集計ゾーン別ADO[[#This Row],[番号]],"@"),TEXT(_番号ADO[番号],"@"),_番号ADO[発生],"",0,1)</f>
        <v>成形</v>
      </c>
      <c r="N258" s="1" t="str">
        <f>_xlfn.IFS(MID(_不良集計ゾーン別ADO[[#This Row],[品番]],3,2)="Fr","Fr",MID(_不良集計ゾーン別ADO[[#This Row],[品番]],3,2)="Rr","Rr",TRUE,"")</f>
        <v>Fr</v>
      </c>
      <c r="O258" s="1" t="str">
        <f>IF(ISBLANK(_不良集計ゾーン別ADO[[#This Row],[品番]]),"",RIGHT(_不良集計ゾーン別ADO[[#This Row],[品番]],2))</f>
        <v>RH</v>
      </c>
      <c r="P258" s="1" t="str">
        <f>_xlfn.IFS(LEFT(_不良集計ゾーン別ADO[[#This Row],[品番]],2)="アル","アルヴェル",LEFT(_不良集計ゾーン別ADO[[#This Row],[品番]],2)="ノア","ノアヴォク",TRUE,"")</f>
        <v>ノアヴォク</v>
      </c>
      <c r="U258" s="1"/>
    </row>
    <row r="259" spans="1:21" x14ac:dyDescent="0.45">
      <c r="A259">
        <v>257</v>
      </c>
      <c r="B259" s="16">
        <v>46041</v>
      </c>
      <c r="C259" s="1" t="s">
        <v>42</v>
      </c>
      <c r="D259" s="1" t="s">
        <v>47</v>
      </c>
      <c r="E259" s="1" t="s">
        <v>36</v>
      </c>
      <c r="F259" s="1" t="s">
        <v>3</v>
      </c>
      <c r="G259" s="1" t="s">
        <v>71</v>
      </c>
      <c r="H259" s="1">
        <v>1</v>
      </c>
      <c r="I259">
        <v>0</v>
      </c>
      <c r="J259" s="1" t="str" cm="1">
        <f t="array" ref="J259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糸引き</v>
      </c>
      <c r="K259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糸引き</v>
      </c>
      <c r="L259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259" s="1" t="str" cm="1">
        <f t="array" ref="M259">_xlfn.XLOOKUP(TEXT(_不良集計ゾーン別ADO[[#This Row],[番号]],"@"),TEXT(_番号ADO[番号],"@"),_番号ADO[発生],"",0,1)</f>
        <v>成形</v>
      </c>
      <c r="N259" s="1" t="str">
        <f>_xlfn.IFS(MID(_不良集計ゾーン別ADO[[#This Row],[品番]],3,2)="Fr","Fr",MID(_不良集計ゾーン別ADO[[#This Row],[品番]],3,2)="Rr","Rr",TRUE,"")</f>
        <v>Rr</v>
      </c>
      <c r="O259" s="1" t="str">
        <f>IF(ISBLANK(_不良集計ゾーン別ADO[[#This Row],[品番]]),"",RIGHT(_不良集計ゾーン別ADO[[#This Row],[品番]],2))</f>
        <v>LH</v>
      </c>
      <c r="P259" s="1" t="str">
        <f>_xlfn.IFS(LEFT(_不良集計ゾーン別ADO[[#This Row],[品番]],2)="アル","アルヴェル",LEFT(_不良集計ゾーン別ADO[[#This Row],[品番]],2)="ノア","ノアヴォク",TRUE,"")</f>
        <v>ノアヴォク</v>
      </c>
      <c r="U259" s="1"/>
    </row>
    <row r="260" spans="1:21" x14ac:dyDescent="0.45">
      <c r="A260">
        <v>258</v>
      </c>
      <c r="B260" s="16">
        <v>46041</v>
      </c>
      <c r="C260" s="1" t="s">
        <v>42</v>
      </c>
      <c r="D260" s="1" t="s">
        <v>47</v>
      </c>
      <c r="E260" s="1" t="s">
        <v>36</v>
      </c>
      <c r="F260" s="1" t="s">
        <v>2</v>
      </c>
      <c r="G260" s="1" t="s">
        <v>61</v>
      </c>
      <c r="H260" s="1">
        <v>1</v>
      </c>
      <c r="I260">
        <v>0</v>
      </c>
      <c r="J260" s="1" t="str" cm="1">
        <f t="array" ref="J260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塗装ひげ</v>
      </c>
      <c r="K260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塗装ひげ</v>
      </c>
      <c r="L260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260" s="1" t="str" cm="1">
        <f t="array" ref="M260">_xlfn.XLOOKUP(TEXT(_不良集計ゾーン別ADO[[#This Row],[番号]],"@"),TEXT(_番号ADO[番号],"@"),_番号ADO[発生],"",0,1)</f>
        <v>塗装</v>
      </c>
      <c r="N260" s="1" t="str">
        <f>_xlfn.IFS(MID(_不良集計ゾーン別ADO[[#This Row],[品番]],3,2)="Fr","Fr",MID(_不良集計ゾーン別ADO[[#This Row],[品番]],3,2)="Rr","Rr",TRUE,"")</f>
        <v>Rr</v>
      </c>
      <c r="O260" s="1" t="str">
        <f>IF(ISBLANK(_不良集計ゾーン別ADO[[#This Row],[品番]]),"",RIGHT(_不良集計ゾーン別ADO[[#This Row],[品番]],2))</f>
        <v>LH</v>
      </c>
      <c r="P260" s="1" t="str">
        <f>_xlfn.IFS(LEFT(_不良集計ゾーン別ADO[[#This Row],[品番]],2)="アル","アルヴェル",LEFT(_不良集計ゾーン別ADO[[#This Row],[品番]],2)="ノア","ノアヴォク",TRUE,"")</f>
        <v>ノアヴォク</v>
      </c>
      <c r="U260" s="1"/>
    </row>
    <row r="261" spans="1:21" x14ac:dyDescent="0.45">
      <c r="A261">
        <v>259</v>
      </c>
      <c r="B261" s="16">
        <v>46041</v>
      </c>
      <c r="C261" s="1" t="s">
        <v>43</v>
      </c>
      <c r="D261" s="1" t="s">
        <v>47</v>
      </c>
      <c r="E261" s="1" t="s">
        <v>36</v>
      </c>
      <c r="F261" s="1" t="s">
        <v>1</v>
      </c>
      <c r="G261" s="1" t="s">
        <v>64</v>
      </c>
      <c r="H261" s="1">
        <v>1</v>
      </c>
      <c r="I261">
        <v>0</v>
      </c>
      <c r="J261" s="1" t="str" cm="1">
        <f t="array" ref="J261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ウエルド</v>
      </c>
      <c r="K261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ウエルド</v>
      </c>
      <c r="L261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261" s="1" t="str" cm="1">
        <f t="array" ref="M261">_xlfn.XLOOKUP(TEXT(_不良集計ゾーン別ADO[[#This Row],[番号]],"@"),TEXT(_番号ADO[番号],"@"),_番号ADO[発生],"",0,1)</f>
        <v>成形</v>
      </c>
      <c r="N261" s="1" t="str">
        <f>_xlfn.IFS(MID(_不良集計ゾーン別ADO[[#This Row],[品番]],3,2)="Fr","Fr",MID(_不良集計ゾーン別ADO[[#This Row],[品番]],3,2)="Rr","Rr",TRUE,"")</f>
        <v>Rr</v>
      </c>
      <c r="O261" s="1" t="str">
        <f>IF(ISBLANK(_不良集計ゾーン別ADO[[#This Row],[品番]]),"",RIGHT(_不良集計ゾーン別ADO[[#This Row],[品番]],2))</f>
        <v>RH</v>
      </c>
      <c r="P261" s="1" t="str">
        <f>_xlfn.IFS(LEFT(_不良集計ゾーン別ADO[[#This Row],[品番]],2)="アル","アルヴェル",LEFT(_不良集計ゾーン別ADO[[#This Row],[品番]],2)="ノア","ノアヴォク",TRUE,"")</f>
        <v>ノアヴォク</v>
      </c>
      <c r="U261" s="1"/>
    </row>
    <row r="262" spans="1:21" x14ac:dyDescent="0.45">
      <c r="A262">
        <v>260</v>
      </c>
      <c r="B262" s="16">
        <v>46041</v>
      </c>
      <c r="C262" s="1" t="s">
        <v>43</v>
      </c>
      <c r="D262" s="1" t="s">
        <v>47</v>
      </c>
      <c r="E262" s="1" t="s">
        <v>36</v>
      </c>
      <c r="F262" s="1" t="s">
        <v>1</v>
      </c>
      <c r="G262" s="1" t="s">
        <v>39</v>
      </c>
      <c r="H262" s="1">
        <v>1</v>
      </c>
      <c r="I262">
        <v>1</v>
      </c>
      <c r="J262" s="1" t="str" cm="1">
        <f t="array" ref="J262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ピンホール</v>
      </c>
      <c r="K262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ピンホール</v>
      </c>
      <c r="L262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262" s="1" t="str" cm="1">
        <f t="array" ref="M262">_xlfn.XLOOKUP(TEXT(_不良集計ゾーン別ADO[[#This Row],[番号]],"@"),TEXT(_番号ADO[番号],"@"),_番号ADO[発生],"",0,1)</f>
        <v>塗装</v>
      </c>
      <c r="N262" s="1" t="str">
        <f>_xlfn.IFS(MID(_不良集計ゾーン別ADO[[#This Row],[品番]],3,2)="Fr","Fr",MID(_不良集計ゾーン別ADO[[#This Row],[品番]],3,2)="Rr","Rr",TRUE,"")</f>
        <v>Rr</v>
      </c>
      <c r="O262" s="1" t="str">
        <f>IF(ISBLANK(_不良集計ゾーン別ADO[[#This Row],[品番]]),"",RIGHT(_不良集計ゾーン別ADO[[#This Row],[品番]],2))</f>
        <v>RH</v>
      </c>
      <c r="P262" s="1" t="str">
        <f>_xlfn.IFS(LEFT(_不良集計ゾーン別ADO[[#This Row],[品番]],2)="アル","アルヴェル",LEFT(_不良集計ゾーン別ADO[[#This Row],[品番]],2)="ノア","ノアヴォク",TRUE,"")</f>
        <v>ノアヴォク</v>
      </c>
      <c r="U262" s="1"/>
    </row>
    <row r="263" spans="1:21" x14ac:dyDescent="0.45">
      <c r="A263">
        <v>261</v>
      </c>
      <c r="B263" s="16">
        <v>46041</v>
      </c>
      <c r="C263" s="1" t="s">
        <v>43</v>
      </c>
      <c r="D263" s="1" t="s">
        <v>47</v>
      </c>
      <c r="E263" s="1" t="s">
        <v>36</v>
      </c>
      <c r="F263" s="1" t="s">
        <v>2</v>
      </c>
      <c r="G263" s="1" t="s">
        <v>52</v>
      </c>
      <c r="H263" s="1">
        <v>1</v>
      </c>
      <c r="I263">
        <v>0</v>
      </c>
      <c r="J263" s="1" t="str" cm="1">
        <f t="array" ref="J263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263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263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263" s="1" t="str" cm="1">
        <f t="array" ref="M263">_xlfn.XLOOKUP(TEXT(_不良集計ゾーン別ADO[[#This Row],[番号]],"@"),TEXT(_番号ADO[番号],"@"),_番号ADO[発生],"",0,1)</f>
        <v>成形</v>
      </c>
      <c r="N263" s="1" t="str">
        <f>_xlfn.IFS(MID(_不良集計ゾーン別ADO[[#This Row],[品番]],3,2)="Fr","Fr",MID(_不良集計ゾーン別ADO[[#This Row],[品番]],3,2)="Rr","Rr",TRUE,"")</f>
        <v>Rr</v>
      </c>
      <c r="O263" s="1" t="str">
        <f>IF(ISBLANK(_不良集計ゾーン別ADO[[#This Row],[品番]]),"",RIGHT(_不良集計ゾーン別ADO[[#This Row],[品番]],2))</f>
        <v>RH</v>
      </c>
      <c r="P263" s="1" t="str">
        <f>_xlfn.IFS(LEFT(_不良集計ゾーン別ADO[[#This Row],[品番]],2)="アル","アルヴェル",LEFT(_不良集計ゾーン別ADO[[#This Row],[品番]],2)="ノア","ノアヴォク",TRUE,"")</f>
        <v>ノアヴォク</v>
      </c>
      <c r="U263" s="1"/>
    </row>
    <row r="264" spans="1:21" x14ac:dyDescent="0.45">
      <c r="A264">
        <v>262</v>
      </c>
      <c r="B264" s="16">
        <v>46041</v>
      </c>
      <c r="C264" s="1" t="s">
        <v>35</v>
      </c>
      <c r="D264" s="1" t="s">
        <v>106</v>
      </c>
      <c r="E264" s="1" t="s">
        <v>36</v>
      </c>
      <c r="F264" s="1" t="s">
        <v>1</v>
      </c>
      <c r="G264" s="1" t="s">
        <v>38</v>
      </c>
      <c r="H264" s="1">
        <v>1</v>
      </c>
      <c r="I264">
        <v>1</v>
      </c>
      <c r="J264" s="1" t="str" cm="1">
        <f t="array" ref="J264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塗装はげ</v>
      </c>
      <c r="K264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塗装はげ</v>
      </c>
      <c r="L264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264" s="1" t="str" cm="1">
        <f t="array" ref="M264">_xlfn.XLOOKUP(TEXT(_不良集計ゾーン別ADO[[#This Row],[番号]],"@"),TEXT(_番号ADO[番号],"@"),_番号ADO[発生],"",0,1)</f>
        <v>塗装</v>
      </c>
      <c r="N264" s="1" t="str">
        <f>_xlfn.IFS(MID(_不良集計ゾーン別ADO[[#This Row],[品番]],3,2)="Fr","Fr",MID(_不良集計ゾーン別ADO[[#This Row],[品番]],3,2)="Rr","Rr",TRUE,"")</f>
        <v>Fr</v>
      </c>
      <c r="O264" s="1" t="str">
        <f>IF(ISBLANK(_不良集計ゾーン別ADO[[#This Row],[品番]]),"",RIGHT(_不良集計ゾーン別ADO[[#This Row],[品番]],2))</f>
        <v>LH</v>
      </c>
      <c r="P264" s="1" t="str">
        <f>_xlfn.IFS(LEFT(_不良集計ゾーン別ADO[[#This Row],[品番]],2)="アル","アルヴェル",LEFT(_不良集計ゾーン別ADO[[#This Row],[品番]],2)="ノア","ノアヴォク",TRUE,"")</f>
        <v>ノアヴォク</v>
      </c>
      <c r="U264" s="1"/>
    </row>
    <row r="265" spans="1:21" x14ac:dyDescent="0.45">
      <c r="A265">
        <v>263</v>
      </c>
      <c r="B265" s="16">
        <v>46041</v>
      </c>
      <c r="C265" s="1" t="s">
        <v>35</v>
      </c>
      <c r="D265" s="1" t="s">
        <v>106</v>
      </c>
      <c r="E265" s="1" t="s">
        <v>36</v>
      </c>
      <c r="F265" s="1" t="s">
        <v>0</v>
      </c>
      <c r="G265" s="1" t="s">
        <v>39</v>
      </c>
      <c r="H265" s="1">
        <v>2</v>
      </c>
      <c r="I265">
        <v>0</v>
      </c>
      <c r="J265" s="1" t="str" cm="1">
        <f t="array" ref="J265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ピンホール</v>
      </c>
      <c r="K265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ピンホール</v>
      </c>
      <c r="L265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265" s="1" t="str" cm="1">
        <f t="array" ref="M265">_xlfn.XLOOKUP(TEXT(_不良集計ゾーン別ADO[[#This Row],[番号]],"@"),TEXT(_番号ADO[番号],"@"),_番号ADO[発生],"",0,1)</f>
        <v>塗装</v>
      </c>
      <c r="N265" s="1" t="str">
        <f>_xlfn.IFS(MID(_不良集計ゾーン別ADO[[#This Row],[品番]],3,2)="Fr","Fr",MID(_不良集計ゾーン別ADO[[#This Row],[品番]],3,2)="Rr","Rr",TRUE,"")</f>
        <v>Fr</v>
      </c>
      <c r="O265" s="1" t="str">
        <f>IF(ISBLANK(_不良集計ゾーン別ADO[[#This Row],[品番]]),"",RIGHT(_不良集計ゾーン別ADO[[#This Row],[品番]],2))</f>
        <v>LH</v>
      </c>
      <c r="P265" s="1" t="str">
        <f>_xlfn.IFS(LEFT(_不良集計ゾーン別ADO[[#This Row],[品番]],2)="アル","アルヴェル",LEFT(_不良集計ゾーン別ADO[[#This Row],[品番]],2)="ノア","ノアヴォク",TRUE,"")</f>
        <v>ノアヴォク</v>
      </c>
      <c r="U265" s="1"/>
    </row>
    <row r="266" spans="1:21" x14ac:dyDescent="0.45">
      <c r="A266">
        <v>264</v>
      </c>
      <c r="B266" s="16">
        <v>46041</v>
      </c>
      <c r="C266" s="1" t="s">
        <v>35</v>
      </c>
      <c r="D266" s="1" t="s">
        <v>106</v>
      </c>
      <c r="E266" s="1" t="s">
        <v>36</v>
      </c>
      <c r="F266" s="1" t="s">
        <v>0</v>
      </c>
      <c r="G266" s="1" t="s">
        <v>40</v>
      </c>
      <c r="H266" s="1">
        <v>1</v>
      </c>
      <c r="I266">
        <v>0</v>
      </c>
      <c r="J266" s="1" t="str" cm="1">
        <f t="array" ref="J266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塗料付着</v>
      </c>
      <c r="K266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塗料付着</v>
      </c>
      <c r="L266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266" s="1" t="str" cm="1">
        <f t="array" ref="M266">_xlfn.XLOOKUP(TEXT(_不良集計ゾーン別ADO[[#This Row],[番号]],"@"),TEXT(_番号ADO[番号],"@"),_番号ADO[発生],"",0,1)</f>
        <v>塗装</v>
      </c>
      <c r="N266" s="1" t="str">
        <f>_xlfn.IFS(MID(_不良集計ゾーン別ADO[[#This Row],[品番]],3,2)="Fr","Fr",MID(_不良集計ゾーン別ADO[[#This Row],[品番]],3,2)="Rr","Rr",TRUE,"")</f>
        <v>Fr</v>
      </c>
      <c r="O266" s="1" t="str">
        <f>IF(ISBLANK(_不良集計ゾーン別ADO[[#This Row],[品番]]),"",RIGHT(_不良集計ゾーン別ADO[[#This Row],[品番]],2))</f>
        <v>LH</v>
      </c>
      <c r="P266" s="1" t="str">
        <f>_xlfn.IFS(LEFT(_不良集計ゾーン別ADO[[#This Row],[品番]],2)="アル","アルヴェル",LEFT(_不良集計ゾーン別ADO[[#This Row],[品番]],2)="ノア","ノアヴォク",TRUE,"")</f>
        <v>ノアヴォク</v>
      </c>
      <c r="U266" s="1"/>
    </row>
    <row r="267" spans="1:21" x14ac:dyDescent="0.45">
      <c r="A267">
        <v>265</v>
      </c>
      <c r="B267" s="16">
        <v>46041</v>
      </c>
      <c r="C267" s="1" t="s">
        <v>35</v>
      </c>
      <c r="D267" s="1" t="s">
        <v>106</v>
      </c>
      <c r="E267" s="1" t="s">
        <v>36</v>
      </c>
      <c r="F267" s="1" t="s">
        <v>0</v>
      </c>
      <c r="G267" s="1" t="s">
        <v>52</v>
      </c>
      <c r="H267" s="1">
        <v>2</v>
      </c>
      <c r="I267">
        <v>0</v>
      </c>
      <c r="J267" s="1" t="str" cm="1">
        <f t="array" ref="J267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267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267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267" s="1" t="str" cm="1">
        <f t="array" ref="M267">_xlfn.XLOOKUP(TEXT(_不良集計ゾーン別ADO[[#This Row],[番号]],"@"),TEXT(_番号ADO[番号],"@"),_番号ADO[発生],"",0,1)</f>
        <v>成形</v>
      </c>
      <c r="N267" s="1" t="str">
        <f>_xlfn.IFS(MID(_不良集計ゾーン別ADO[[#This Row],[品番]],3,2)="Fr","Fr",MID(_不良集計ゾーン別ADO[[#This Row],[品番]],3,2)="Rr","Rr",TRUE,"")</f>
        <v>Fr</v>
      </c>
      <c r="O267" s="1" t="str">
        <f>IF(ISBLANK(_不良集計ゾーン別ADO[[#This Row],[品番]]),"",RIGHT(_不良集計ゾーン別ADO[[#This Row],[品番]],2))</f>
        <v>LH</v>
      </c>
      <c r="P267" s="1" t="str">
        <f>_xlfn.IFS(LEFT(_不良集計ゾーン別ADO[[#This Row],[品番]],2)="アル","アルヴェル",LEFT(_不良集計ゾーン別ADO[[#This Row],[品番]],2)="ノア","ノアヴォク",TRUE,"")</f>
        <v>ノアヴォク</v>
      </c>
      <c r="U267" s="1"/>
    </row>
    <row r="268" spans="1:21" x14ac:dyDescent="0.45">
      <c r="A268">
        <v>266</v>
      </c>
      <c r="B268" s="16">
        <v>46041</v>
      </c>
      <c r="C268" s="1" t="s">
        <v>41</v>
      </c>
      <c r="D268" s="1" t="s">
        <v>106</v>
      </c>
      <c r="E268" s="1" t="s">
        <v>36</v>
      </c>
      <c r="F268" s="1" t="s">
        <v>0</v>
      </c>
      <c r="G268" s="1" t="s">
        <v>84</v>
      </c>
      <c r="H268" s="1">
        <v>1</v>
      </c>
      <c r="I268">
        <v>0</v>
      </c>
      <c r="J268" s="1" t="str" cm="1">
        <f t="array" ref="J268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プライマー</v>
      </c>
      <c r="K268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プライマー</v>
      </c>
      <c r="L268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268" s="1" t="str" cm="1">
        <f t="array" ref="M268">_xlfn.XLOOKUP(TEXT(_不良集計ゾーン別ADO[[#This Row],[番号]],"@"),TEXT(_番号ADO[番号],"@"),_番号ADO[発生],"",0,1)</f>
        <v>加工</v>
      </c>
      <c r="N268" s="1" t="str">
        <f>_xlfn.IFS(MID(_不良集計ゾーン別ADO[[#This Row],[品番]],3,2)="Fr","Fr",MID(_不良集計ゾーン別ADO[[#This Row],[品番]],3,2)="Rr","Rr",TRUE,"")</f>
        <v>Fr</v>
      </c>
      <c r="O268" s="1" t="str">
        <f>IF(ISBLANK(_不良集計ゾーン別ADO[[#This Row],[品番]]),"",RIGHT(_不良集計ゾーン別ADO[[#This Row],[品番]],2))</f>
        <v>RH</v>
      </c>
      <c r="P268" s="1" t="str">
        <f>_xlfn.IFS(LEFT(_不良集計ゾーン別ADO[[#This Row],[品番]],2)="アル","アルヴェル",LEFT(_不良集計ゾーン別ADO[[#This Row],[品番]],2)="ノア","ノアヴォク",TRUE,"")</f>
        <v>ノアヴォク</v>
      </c>
      <c r="U268" s="1"/>
    </row>
    <row r="269" spans="1:21" x14ac:dyDescent="0.45">
      <c r="A269">
        <v>267</v>
      </c>
      <c r="B269" s="16">
        <v>46041</v>
      </c>
      <c r="C269" s="1" t="s">
        <v>41</v>
      </c>
      <c r="D269" s="1" t="s">
        <v>106</v>
      </c>
      <c r="E269" s="1" t="s">
        <v>36</v>
      </c>
      <c r="F269" s="1" t="s">
        <v>0</v>
      </c>
      <c r="G269" s="1" t="s">
        <v>39</v>
      </c>
      <c r="H269" s="1">
        <v>1</v>
      </c>
      <c r="I269">
        <v>0</v>
      </c>
      <c r="J269" s="1" t="str" cm="1">
        <f t="array" ref="J269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ピンホール</v>
      </c>
      <c r="K269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ピンホール</v>
      </c>
      <c r="L269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269" s="1" t="str" cm="1">
        <f t="array" ref="M269">_xlfn.XLOOKUP(TEXT(_不良集計ゾーン別ADO[[#This Row],[番号]],"@"),TEXT(_番号ADO[番号],"@"),_番号ADO[発生],"",0,1)</f>
        <v>塗装</v>
      </c>
      <c r="N269" s="1" t="str">
        <f>_xlfn.IFS(MID(_不良集計ゾーン別ADO[[#This Row],[品番]],3,2)="Fr","Fr",MID(_不良集計ゾーン別ADO[[#This Row],[品番]],3,2)="Rr","Rr",TRUE,"")</f>
        <v>Fr</v>
      </c>
      <c r="O269" s="1" t="str">
        <f>IF(ISBLANK(_不良集計ゾーン別ADO[[#This Row],[品番]]),"",RIGHT(_不良集計ゾーン別ADO[[#This Row],[品番]],2))</f>
        <v>RH</v>
      </c>
      <c r="P269" s="1" t="str">
        <f>_xlfn.IFS(LEFT(_不良集計ゾーン別ADO[[#This Row],[品番]],2)="アル","アルヴェル",LEFT(_不良集計ゾーン別ADO[[#This Row],[品番]],2)="ノア","ノアヴォク",TRUE,"")</f>
        <v>ノアヴォク</v>
      </c>
      <c r="U269" s="1"/>
    </row>
    <row r="270" spans="1:21" x14ac:dyDescent="0.45">
      <c r="A270">
        <v>268</v>
      </c>
      <c r="B270" s="16">
        <v>46041</v>
      </c>
      <c r="C270" s="1" t="s">
        <v>41</v>
      </c>
      <c r="D270" s="1" t="s">
        <v>106</v>
      </c>
      <c r="E270" s="1" t="s">
        <v>36</v>
      </c>
      <c r="F270" s="1" t="s">
        <v>1</v>
      </c>
      <c r="G270" s="1" t="s">
        <v>39</v>
      </c>
      <c r="H270" s="1">
        <v>1</v>
      </c>
      <c r="I270"/>
      <c r="J270" s="1" t="str" cm="1">
        <f t="array" ref="J270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ピンホール</v>
      </c>
      <c r="K270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ピンホール</v>
      </c>
      <c r="L270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270" s="1" t="str" cm="1">
        <f t="array" ref="M270">_xlfn.XLOOKUP(TEXT(_不良集計ゾーン別ADO[[#This Row],[番号]],"@"),TEXT(_番号ADO[番号],"@"),_番号ADO[発生],"",0,1)</f>
        <v>塗装</v>
      </c>
      <c r="N270" s="1" t="str">
        <f>_xlfn.IFS(MID(_不良集計ゾーン別ADO[[#This Row],[品番]],3,2)="Fr","Fr",MID(_不良集計ゾーン別ADO[[#This Row],[品番]],3,2)="Rr","Rr",TRUE,"")</f>
        <v>Fr</v>
      </c>
      <c r="O270" s="1" t="str">
        <f>IF(ISBLANK(_不良集計ゾーン別ADO[[#This Row],[品番]]),"",RIGHT(_不良集計ゾーン別ADO[[#This Row],[品番]],2))</f>
        <v>RH</v>
      </c>
      <c r="P270" s="1" t="str">
        <f>_xlfn.IFS(LEFT(_不良集計ゾーン別ADO[[#This Row],[品番]],2)="アル","アルヴェル",LEFT(_不良集計ゾーン別ADO[[#This Row],[品番]],2)="ノア","ノアヴォク",TRUE,"")</f>
        <v>ノアヴォク</v>
      </c>
      <c r="U270" s="1"/>
    </row>
    <row r="271" spans="1:21" x14ac:dyDescent="0.45">
      <c r="A271">
        <v>269</v>
      </c>
      <c r="B271" s="16">
        <v>46041</v>
      </c>
      <c r="C271" s="1" t="s">
        <v>42</v>
      </c>
      <c r="D271" s="1" t="s">
        <v>106</v>
      </c>
      <c r="E271" s="1" t="s">
        <v>36</v>
      </c>
      <c r="F271" s="1" t="s">
        <v>4</v>
      </c>
      <c r="G271" s="1" t="s">
        <v>52</v>
      </c>
      <c r="H271" s="1">
        <v>1</v>
      </c>
      <c r="I271">
        <v>0</v>
      </c>
      <c r="J271" s="1" t="str" cm="1">
        <f t="array" ref="J271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271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271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271" s="1" t="str" cm="1">
        <f t="array" ref="M271">_xlfn.XLOOKUP(TEXT(_不良集計ゾーン別ADO[[#This Row],[番号]],"@"),TEXT(_番号ADO[番号],"@"),_番号ADO[発生],"",0,1)</f>
        <v>成形</v>
      </c>
      <c r="N271" s="1" t="str">
        <f>_xlfn.IFS(MID(_不良集計ゾーン別ADO[[#This Row],[品番]],3,2)="Fr","Fr",MID(_不良集計ゾーン別ADO[[#This Row],[品番]],3,2)="Rr","Rr",TRUE,"")</f>
        <v>Rr</v>
      </c>
      <c r="O271" s="1" t="str">
        <f>IF(ISBLANK(_不良集計ゾーン別ADO[[#This Row],[品番]]),"",RIGHT(_不良集計ゾーン別ADO[[#This Row],[品番]],2))</f>
        <v>LH</v>
      </c>
      <c r="P271" s="1" t="str">
        <f>_xlfn.IFS(LEFT(_不良集計ゾーン別ADO[[#This Row],[品番]],2)="アル","アルヴェル",LEFT(_不良集計ゾーン別ADO[[#This Row],[品番]],2)="ノア","ノアヴォク",TRUE,"")</f>
        <v>ノアヴォク</v>
      </c>
      <c r="U271" s="1"/>
    </row>
    <row r="272" spans="1:21" x14ac:dyDescent="0.45">
      <c r="A272">
        <v>270</v>
      </c>
      <c r="B272" s="16">
        <v>46041</v>
      </c>
      <c r="C272" s="1" t="s">
        <v>42</v>
      </c>
      <c r="D272" s="1" t="s">
        <v>106</v>
      </c>
      <c r="E272" s="1" t="s">
        <v>36</v>
      </c>
      <c r="F272" s="1" t="s">
        <v>2</v>
      </c>
      <c r="G272" s="1" t="s">
        <v>40</v>
      </c>
      <c r="H272" s="1">
        <v>1</v>
      </c>
      <c r="I272">
        <v>0</v>
      </c>
      <c r="J272" s="1" t="str" cm="1">
        <f t="array" ref="J272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塗料付着</v>
      </c>
      <c r="K272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塗料付着</v>
      </c>
      <c r="L272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272" s="1" t="str" cm="1">
        <f t="array" ref="M272">_xlfn.XLOOKUP(TEXT(_不良集計ゾーン別ADO[[#This Row],[番号]],"@"),TEXT(_番号ADO[番号],"@"),_番号ADO[発生],"",0,1)</f>
        <v>塗装</v>
      </c>
      <c r="N272" s="1" t="str">
        <f>_xlfn.IFS(MID(_不良集計ゾーン別ADO[[#This Row],[品番]],3,2)="Fr","Fr",MID(_不良集計ゾーン別ADO[[#This Row],[品番]],3,2)="Rr","Rr",TRUE,"")</f>
        <v>Rr</v>
      </c>
      <c r="O272" s="1" t="str">
        <f>IF(ISBLANK(_不良集計ゾーン別ADO[[#This Row],[品番]]),"",RIGHT(_不良集計ゾーン別ADO[[#This Row],[品番]],2))</f>
        <v>LH</v>
      </c>
      <c r="P272" s="1" t="str">
        <f>_xlfn.IFS(LEFT(_不良集計ゾーン別ADO[[#This Row],[品番]],2)="アル","アルヴェル",LEFT(_不良集計ゾーン別ADO[[#This Row],[品番]],2)="ノア","ノアヴォク",TRUE,"")</f>
        <v>ノアヴォク</v>
      </c>
      <c r="U272" s="1"/>
    </row>
    <row r="273" spans="1:21" x14ac:dyDescent="0.45">
      <c r="A273">
        <v>271</v>
      </c>
      <c r="B273" s="16">
        <v>46041</v>
      </c>
      <c r="C273" s="1" t="s">
        <v>42</v>
      </c>
      <c r="D273" s="1" t="s">
        <v>106</v>
      </c>
      <c r="E273" s="1" t="s">
        <v>36</v>
      </c>
      <c r="F273" s="1" t="s">
        <v>0</v>
      </c>
      <c r="G273" s="1" t="s">
        <v>114</v>
      </c>
      <c r="H273" s="1">
        <v>1</v>
      </c>
      <c r="I273">
        <v>0</v>
      </c>
      <c r="J273" s="1" t="str" cm="1">
        <f t="array" ref="J273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加工キズ</v>
      </c>
      <c r="K273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加工キズ</v>
      </c>
      <c r="L273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273" s="1" t="str" cm="1">
        <f t="array" ref="M273">_xlfn.XLOOKUP(TEXT(_不良集計ゾーン別ADO[[#This Row],[番号]],"@"),TEXT(_番号ADO[番号],"@"),_番号ADO[発生],"",0,1)</f>
        <v>加工</v>
      </c>
      <c r="N273" s="1" t="str">
        <f>_xlfn.IFS(MID(_不良集計ゾーン別ADO[[#This Row],[品番]],3,2)="Fr","Fr",MID(_不良集計ゾーン別ADO[[#This Row],[品番]],3,2)="Rr","Rr",TRUE,"")</f>
        <v>Rr</v>
      </c>
      <c r="O273" s="1" t="str">
        <f>IF(ISBLANK(_不良集計ゾーン別ADO[[#This Row],[品番]]),"",RIGHT(_不良集計ゾーン別ADO[[#This Row],[品番]],2))</f>
        <v>LH</v>
      </c>
      <c r="P273" s="1" t="str">
        <f>_xlfn.IFS(LEFT(_不良集計ゾーン別ADO[[#This Row],[品番]],2)="アル","アルヴェル",LEFT(_不良集計ゾーン別ADO[[#This Row],[品番]],2)="ノア","ノアヴォク",TRUE,"")</f>
        <v>ノアヴォク</v>
      </c>
      <c r="U273" s="1"/>
    </row>
    <row r="274" spans="1:21" x14ac:dyDescent="0.45">
      <c r="A274">
        <v>272</v>
      </c>
      <c r="B274" s="16">
        <v>46041</v>
      </c>
      <c r="C274" s="1" t="s">
        <v>43</v>
      </c>
      <c r="D274" s="1" t="s">
        <v>106</v>
      </c>
      <c r="E274" s="1" t="s">
        <v>36</v>
      </c>
      <c r="F274" s="1" t="s">
        <v>2</v>
      </c>
      <c r="G274" s="1" t="s">
        <v>64</v>
      </c>
      <c r="H274" s="1">
        <v>1</v>
      </c>
      <c r="I274">
        <v>0</v>
      </c>
      <c r="J274" s="1" t="str" cm="1">
        <f t="array" ref="J274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ウエルド</v>
      </c>
      <c r="K274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ウエルド</v>
      </c>
      <c r="L274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274" s="1" t="str" cm="1">
        <f t="array" ref="M274">_xlfn.XLOOKUP(TEXT(_不良集計ゾーン別ADO[[#This Row],[番号]],"@"),TEXT(_番号ADO[番号],"@"),_番号ADO[発生],"",0,1)</f>
        <v>成形</v>
      </c>
      <c r="N274" s="1" t="str">
        <f>_xlfn.IFS(MID(_不良集計ゾーン別ADO[[#This Row],[品番]],3,2)="Fr","Fr",MID(_不良集計ゾーン別ADO[[#This Row],[品番]],3,2)="Rr","Rr",TRUE,"")</f>
        <v>Rr</v>
      </c>
      <c r="O274" s="1" t="str">
        <f>IF(ISBLANK(_不良集計ゾーン別ADO[[#This Row],[品番]]),"",RIGHT(_不良集計ゾーン別ADO[[#This Row],[品番]],2))</f>
        <v>RH</v>
      </c>
      <c r="P274" s="1" t="str">
        <f>_xlfn.IFS(LEFT(_不良集計ゾーン別ADO[[#This Row],[品番]],2)="アル","アルヴェル",LEFT(_不良集計ゾーン別ADO[[#This Row],[品番]],2)="ノア","ノアヴォク",TRUE,"")</f>
        <v>ノアヴォク</v>
      </c>
      <c r="U274" s="1"/>
    </row>
    <row r="275" spans="1:21" x14ac:dyDescent="0.45">
      <c r="A275">
        <v>273</v>
      </c>
      <c r="B275" s="16">
        <v>46041</v>
      </c>
      <c r="C275" s="1" t="s">
        <v>43</v>
      </c>
      <c r="D275" s="1" t="s">
        <v>106</v>
      </c>
      <c r="E275" s="1" t="s">
        <v>36</v>
      </c>
      <c r="F275" s="1" t="s">
        <v>3</v>
      </c>
      <c r="G275" s="1" t="s">
        <v>39</v>
      </c>
      <c r="H275" s="1">
        <v>1</v>
      </c>
      <c r="I275">
        <v>1</v>
      </c>
      <c r="J275" s="1" t="str" cm="1">
        <f t="array" ref="J275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ピンホール</v>
      </c>
      <c r="K275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ピンホール</v>
      </c>
      <c r="L275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275" s="1" t="str" cm="1">
        <f t="array" ref="M275">_xlfn.XLOOKUP(TEXT(_不良集計ゾーン別ADO[[#This Row],[番号]],"@"),TEXT(_番号ADO[番号],"@"),_番号ADO[発生],"",0,1)</f>
        <v>塗装</v>
      </c>
      <c r="N275" s="1" t="str">
        <f>_xlfn.IFS(MID(_不良集計ゾーン別ADO[[#This Row],[品番]],3,2)="Fr","Fr",MID(_不良集計ゾーン別ADO[[#This Row],[品番]],3,2)="Rr","Rr",TRUE,"")</f>
        <v>Rr</v>
      </c>
      <c r="O275" s="1" t="str">
        <f>IF(ISBLANK(_不良集計ゾーン別ADO[[#This Row],[品番]]),"",RIGHT(_不良集計ゾーン別ADO[[#This Row],[品番]],2))</f>
        <v>RH</v>
      </c>
      <c r="P275" s="1" t="str">
        <f>_xlfn.IFS(LEFT(_不良集計ゾーン別ADO[[#This Row],[品番]],2)="アル","アルヴェル",LEFT(_不良集計ゾーン別ADO[[#This Row],[品番]],2)="ノア","ノアヴォク",TRUE,"")</f>
        <v>ノアヴォク</v>
      </c>
      <c r="U275" s="1"/>
    </row>
    <row r="276" spans="1:21" x14ac:dyDescent="0.45">
      <c r="A276">
        <v>274</v>
      </c>
      <c r="B276" s="16">
        <v>46042</v>
      </c>
      <c r="C276" s="1" t="s">
        <v>35</v>
      </c>
      <c r="D276" s="1" t="s">
        <v>102</v>
      </c>
      <c r="E276" s="1" t="s">
        <v>36</v>
      </c>
      <c r="F276" s="1" t="s">
        <v>2</v>
      </c>
      <c r="G276" s="1" t="s">
        <v>39</v>
      </c>
      <c r="H276" s="1">
        <v>1</v>
      </c>
      <c r="I276">
        <v>0</v>
      </c>
      <c r="J276" s="1" t="str" cm="1">
        <f t="array" ref="J276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ピンホール</v>
      </c>
      <c r="K276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ピンホール</v>
      </c>
      <c r="L276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276" s="1" t="str" cm="1">
        <f t="array" ref="M276">_xlfn.XLOOKUP(TEXT(_不良集計ゾーン別ADO[[#This Row],[番号]],"@"),TEXT(_番号ADO[番号],"@"),_番号ADO[発生],"",0,1)</f>
        <v>塗装</v>
      </c>
      <c r="N276" s="1" t="str">
        <f>_xlfn.IFS(MID(_不良集計ゾーン別ADO[[#This Row],[品番]],3,2)="Fr","Fr",MID(_不良集計ゾーン別ADO[[#This Row],[品番]],3,2)="Rr","Rr",TRUE,"")</f>
        <v>Fr</v>
      </c>
      <c r="O276" s="1" t="str">
        <f>IF(ISBLANK(_不良集計ゾーン別ADO[[#This Row],[品番]]),"",RIGHT(_不良集計ゾーン別ADO[[#This Row],[品番]],2))</f>
        <v>LH</v>
      </c>
      <c r="P276" s="1" t="str">
        <f>_xlfn.IFS(LEFT(_不良集計ゾーン別ADO[[#This Row],[品番]],2)="アル","アルヴェル",LEFT(_不良集計ゾーン別ADO[[#This Row],[品番]],2)="ノア","ノアヴォク",TRUE,"")</f>
        <v>ノアヴォク</v>
      </c>
      <c r="U276" s="1"/>
    </row>
    <row r="277" spans="1:21" x14ac:dyDescent="0.45">
      <c r="A277">
        <v>275</v>
      </c>
      <c r="B277" s="16">
        <v>46042</v>
      </c>
      <c r="C277" s="1" t="s">
        <v>41</v>
      </c>
      <c r="D277" s="1" t="s">
        <v>102</v>
      </c>
      <c r="E277" s="1" t="s">
        <v>36</v>
      </c>
      <c r="F277" s="1" t="s">
        <v>0</v>
      </c>
      <c r="G277" s="1" t="s">
        <v>52</v>
      </c>
      <c r="H277" s="1">
        <v>1</v>
      </c>
      <c r="I277">
        <v>0</v>
      </c>
      <c r="J277" s="1" t="str" cm="1">
        <f t="array" ref="J277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277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277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277" s="1" t="str" cm="1">
        <f t="array" ref="M277">_xlfn.XLOOKUP(TEXT(_不良集計ゾーン別ADO[[#This Row],[番号]],"@"),TEXT(_番号ADO[番号],"@"),_番号ADO[発生],"",0,1)</f>
        <v>成形</v>
      </c>
      <c r="N277" s="1" t="str">
        <f>_xlfn.IFS(MID(_不良集計ゾーン別ADO[[#This Row],[品番]],3,2)="Fr","Fr",MID(_不良集計ゾーン別ADO[[#This Row],[品番]],3,2)="Rr","Rr",TRUE,"")</f>
        <v>Fr</v>
      </c>
      <c r="O277" s="1" t="str">
        <f>IF(ISBLANK(_不良集計ゾーン別ADO[[#This Row],[品番]]),"",RIGHT(_不良集計ゾーン別ADO[[#This Row],[品番]],2))</f>
        <v>RH</v>
      </c>
      <c r="P277" s="1" t="str">
        <f>_xlfn.IFS(LEFT(_不良集計ゾーン別ADO[[#This Row],[品番]],2)="アル","アルヴェル",LEFT(_不良集計ゾーン別ADO[[#This Row],[品番]],2)="ノア","ノアヴォク",TRUE,"")</f>
        <v>ノアヴォク</v>
      </c>
      <c r="U277" s="1"/>
    </row>
    <row r="278" spans="1:21" x14ac:dyDescent="0.45">
      <c r="A278">
        <v>276</v>
      </c>
      <c r="B278" s="16">
        <v>46042</v>
      </c>
      <c r="C278" s="1" t="s">
        <v>41</v>
      </c>
      <c r="D278" s="1" t="s">
        <v>102</v>
      </c>
      <c r="E278" s="1" t="s">
        <v>36</v>
      </c>
      <c r="F278" s="1" t="s">
        <v>2</v>
      </c>
      <c r="G278" s="1" t="s">
        <v>53</v>
      </c>
      <c r="H278" s="1">
        <v>1</v>
      </c>
      <c r="I278">
        <v>0</v>
      </c>
      <c r="J278" s="1" t="str" cm="1">
        <f t="array" ref="J278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汚れ</v>
      </c>
      <c r="K278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汚れ</v>
      </c>
      <c r="L278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278" s="1" t="str" cm="1">
        <f t="array" ref="M278">_xlfn.XLOOKUP(TEXT(_不良集計ゾーン別ADO[[#This Row],[番号]],"@"),TEXT(_番号ADO[番号],"@"),_番号ADO[発生],"",0,1)</f>
        <v>塗装</v>
      </c>
      <c r="N278" s="1" t="str">
        <f>_xlfn.IFS(MID(_不良集計ゾーン別ADO[[#This Row],[品番]],3,2)="Fr","Fr",MID(_不良集計ゾーン別ADO[[#This Row],[品番]],3,2)="Rr","Rr",TRUE,"")</f>
        <v>Fr</v>
      </c>
      <c r="O278" s="1" t="str">
        <f>IF(ISBLANK(_不良集計ゾーン別ADO[[#This Row],[品番]]),"",RIGHT(_不良集計ゾーン別ADO[[#This Row],[品番]],2))</f>
        <v>RH</v>
      </c>
      <c r="P278" s="1" t="str">
        <f>_xlfn.IFS(LEFT(_不良集計ゾーン別ADO[[#This Row],[品番]],2)="アル","アルヴェル",LEFT(_不良集計ゾーン別ADO[[#This Row],[品番]],2)="ノア","ノアヴォク",TRUE,"")</f>
        <v>ノアヴォク</v>
      </c>
      <c r="U278" s="1"/>
    </row>
    <row r="279" spans="1:21" x14ac:dyDescent="0.45">
      <c r="A279">
        <v>277</v>
      </c>
      <c r="B279" s="16">
        <v>46042</v>
      </c>
      <c r="C279" s="1" t="s">
        <v>42</v>
      </c>
      <c r="D279" s="1" t="s">
        <v>102</v>
      </c>
      <c r="E279" s="1" t="s">
        <v>36</v>
      </c>
      <c r="F279" s="1" t="s">
        <v>0</v>
      </c>
      <c r="G279" s="1" t="s">
        <v>52</v>
      </c>
      <c r="H279" s="1">
        <v>1</v>
      </c>
      <c r="I279">
        <v>0</v>
      </c>
      <c r="J279" s="1" t="str" cm="1">
        <f t="array" ref="J279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279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279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279" s="1" t="str" cm="1">
        <f t="array" ref="M279">_xlfn.XLOOKUP(TEXT(_不良集計ゾーン別ADO[[#This Row],[番号]],"@"),TEXT(_番号ADO[番号],"@"),_番号ADO[発生],"",0,1)</f>
        <v>成形</v>
      </c>
      <c r="N279" s="1" t="str">
        <f>_xlfn.IFS(MID(_不良集計ゾーン別ADO[[#This Row],[品番]],3,2)="Fr","Fr",MID(_不良集計ゾーン別ADO[[#This Row],[品番]],3,2)="Rr","Rr",TRUE,"")</f>
        <v>Rr</v>
      </c>
      <c r="O279" s="1" t="str">
        <f>IF(ISBLANK(_不良集計ゾーン別ADO[[#This Row],[品番]]),"",RIGHT(_不良集計ゾーン別ADO[[#This Row],[品番]],2))</f>
        <v>LH</v>
      </c>
      <c r="P279" s="1" t="str">
        <f>_xlfn.IFS(LEFT(_不良集計ゾーン別ADO[[#This Row],[品番]],2)="アル","アルヴェル",LEFT(_不良集計ゾーン別ADO[[#This Row],[品番]],2)="ノア","ノアヴォク",TRUE,"")</f>
        <v>ノアヴォク</v>
      </c>
      <c r="U279" s="1"/>
    </row>
    <row r="280" spans="1:21" x14ac:dyDescent="0.45">
      <c r="A280">
        <v>278</v>
      </c>
      <c r="B280" s="16">
        <v>46041</v>
      </c>
      <c r="C280" s="1" t="s">
        <v>54</v>
      </c>
      <c r="D280" s="1" t="s">
        <v>201</v>
      </c>
      <c r="E280" s="1" t="s">
        <v>36</v>
      </c>
      <c r="F280" s="1" t="s">
        <v>2</v>
      </c>
      <c r="G280" s="1" t="s">
        <v>36</v>
      </c>
      <c r="H280" s="1">
        <v>1</v>
      </c>
      <c r="I280">
        <v>0</v>
      </c>
      <c r="J280" s="1" t="str" cm="1">
        <f t="array" ref="J280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粘着</v>
      </c>
      <c r="K280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粘着</v>
      </c>
      <c r="L280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280" s="1" t="str" cm="1">
        <f t="array" ref="M280">_xlfn.XLOOKUP(TEXT(_不良集計ゾーン別ADO[[#This Row],[番号]],"@"),TEXT(_番号ADO[番号],"@"),_番号ADO[発生],"",0,1)</f>
        <v>加工</v>
      </c>
      <c r="N280" s="1" t="str">
        <f>_xlfn.IFS(MID(_不良集計ゾーン別ADO[[#This Row],[品番]],3,2)="Fr","Fr",MID(_不良集計ゾーン別ADO[[#This Row],[品番]],3,2)="Rr","Rr",TRUE,"")</f>
        <v>Fr</v>
      </c>
      <c r="O280" s="1" t="str">
        <f>IF(ISBLANK(_不良集計ゾーン別ADO[[#This Row],[品番]]),"",RIGHT(_不良集計ゾーン別ADO[[#This Row],[品番]],2))</f>
        <v>RH</v>
      </c>
      <c r="P280" s="1" t="str">
        <f>_xlfn.IFS(LEFT(_不良集計ゾーン別ADO[[#This Row],[品番]],2)="アル","アルヴェル",LEFT(_不良集計ゾーン別ADO[[#This Row],[品番]],2)="ノア","ノアヴォク",TRUE,"")</f>
        <v>アルヴェル</v>
      </c>
      <c r="U280" s="1"/>
    </row>
    <row r="281" spans="1:21" x14ac:dyDescent="0.45">
      <c r="A281">
        <v>279</v>
      </c>
      <c r="B281" s="16">
        <v>46041</v>
      </c>
      <c r="C281" s="1" t="s">
        <v>54</v>
      </c>
      <c r="D281" s="1" t="s">
        <v>201</v>
      </c>
      <c r="E281" s="1" t="s">
        <v>36</v>
      </c>
      <c r="F281" s="1" t="s">
        <v>2</v>
      </c>
      <c r="G281" s="1" t="s">
        <v>114</v>
      </c>
      <c r="H281" s="1">
        <v>1</v>
      </c>
      <c r="I281">
        <v>0</v>
      </c>
      <c r="J281" s="1" t="str" cm="1">
        <f t="array" ref="J281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加工キズ</v>
      </c>
      <c r="K281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加工キズ</v>
      </c>
      <c r="L281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281" s="1" t="str" cm="1">
        <f t="array" ref="M281">_xlfn.XLOOKUP(TEXT(_不良集計ゾーン別ADO[[#This Row],[番号]],"@"),TEXT(_番号ADO[番号],"@"),_番号ADO[発生],"",0,1)</f>
        <v>加工</v>
      </c>
      <c r="N281" s="1" t="str">
        <f>_xlfn.IFS(MID(_不良集計ゾーン別ADO[[#This Row],[品番]],3,2)="Fr","Fr",MID(_不良集計ゾーン別ADO[[#This Row],[品番]],3,2)="Rr","Rr",TRUE,"")</f>
        <v>Fr</v>
      </c>
      <c r="O281" s="1" t="str">
        <f>IF(ISBLANK(_不良集計ゾーン別ADO[[#This Row],[品番]]),"",RIGHT(_不良集計ゾーン別ADO[[#This Row],[品番]],2))</f>
        <v>RH</v>
      </c>
      <c r="P281" s="1" t="str">
        <f>_xlfn.IFS(LEFT(_不良集計ゾーン別ADO[[#This Row],[品番]],2)="アル","アルヴェル",LEFT(_不良集計ゾーン別ADO[[#This Row],[品番]],2)="ノア","ノアヴォク",TRUE,"")</f>
        <v>アルヴェル</v>
      </c>
      <c r="U281" s="1"/>
    </row>
    <row r="282" spans="1:21" x14ac:dyDescent="0.45">
      <c r="A282">
        <v>280</v>
      </c>
      <c r="B282" s="16">
        <v>46041</v>
      </c>
      <c r="C282" s="1" t="s">
        <v>54</v>
      </c>
      <c r="D282" s="1" t="s">
        <v>201</v>
      </c>
      <c r="E282" s="1" t="s">
        <v>36</v>
      </c>
      <c r="F282" s="1" t="s">
        <v>3</v>
      </c>
      <c r="G282" s="1" t="s">
        <v>114</v>
      </c>
      <c r="H282" s="1">
        <v>2</v>
      </c>
      <c r="I282">
        <v>0</v>
      </c>
      <c r="J282" s="1" t="str" cm="1">
        <f t="array" ref="J282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加工キズ</v>
      </c>
      <c r="K282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加工キズ</v>
      </c>
      <c r="L282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282" s="1" t="str" cm="1">
        <f t="array" ref="M282">_xlfn.XLOOKUP(TEXT(_不良集計ゾーン別ADO[[#This Row],[番号]],"@"),TEXT(_番号ADO[番号],"@"),_番号ADO[発生],"",0,1)</f>
        <v>加工</v>
      </c>
      <c r="N282" s="1" t="str">
        <f>_xlfn.IFS(MID(_不良集計ゾーン別ADO[[#This Row],[品番]],3,2)="Fr","Fr",MID(_不良集計ゾーン別ADO[[#This Row],[品番]],3,2)="Rr","Rr",TRUE,"")</f>
        <v>Fr</v>
      </c>
      <c r="O282" s="1" t="str">
        <f>IF(ISBLANK(_不良集計ゾーン別ADO[[#This Row],[品番]]),"",RIGHT(_不良集計ゾーン別ADO[[#This Row],[品番]],2))</f>
        <v>RH</v>
      </c>
      <c r="P282" s="1" t="str">
        <f>_xlfn.IFS(LEFT(_不良集計ゾーン別ADO[[#This Row],[品番]],2)="アル","アルヴェル",LEFT(_不良集計ゾーン別ADO[[#This Row],[品番]],2)="ノア","ノアヴォク",TRUE,"")</f>
        <v>アルヴェル</v>
      </c>
      <c r="U282" s="1"/>
    </row>
    <row r="283" spans="1:21" x14ac:dyDescent="0.45">
      <c r="A283">
        <v>281</v>
      </c>
      <c r="B283" s="16">
        <v>46044</v>
      </c>
      <c r="C283" s="1" t="s">
        <v>54</v>
      </c>
      <c r="D283" s="1" t="s">
        <v>104</v>
      </c>
      <c r="E283" s="1" t="s">
        <v>50</v>
      </c>
      <c r="F283" s="1" t="s">
        <v>3</v>
      </c>
      <c r="G283" s="1" t="s">
        <v>52</v>
      </c>
      <c r="H283" s="1">
        <v>1</v>
      </c>
      <c r="I283">
        <v>0</v>
      </c>
      <c r="J283" s="1" t="str" cm="1">
        <f t="array" ref="J283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283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283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モール</v>
      </c>
      <c r="M283" s="1" t="str" cm="1">
        <f t="array" ref="M283">_xlfn.XLOOKUP(TEXT(_不良集計ゾーン別ADO[[#This Row],[番号]],"@"),TEXT(_番号ADO[番号],"@"),_番号ADO[発生],"",0,1)</f>
        <v>成形</v>
      </c>
      <c r="N283" s="1" t="str">
        <f>_xlfn.IFS(MID(_不良集計ゾーン別ADO[[#This Row],[品番]],3,2)="Fr","Fr",MID(_不良集計ゾーン別ADO[[#This Row],[品番]],3,2)="Rr","Rr",TRUE,"")</f>
        <v>Fr</v>
      </c>
      <c r="O283" s="1" t="str">
        <f>IF(ISBLANK(_不良集計ゾーン別ADO[[#This Row],[品番]]),"",RIGHT(_不良集計ゾーン別ADO[[#This Row],[品番]],2))</f>
        <v>RH</v>
      </c>
      <c r="P283" s="1" t="str">
        <f>_xlfn.IFS(LEFT(_不良集計ゾーン別ADO[[#This Row],[品番]],2)="アル","アルヴェル",LEFT(_不良集計ゾーン別ADO[[#This Row],[品番]],2)="ノア","ノアヴォク",TRUE,"")</f>
        <v>アルヴェル</v>
      </c>
      <c r="U283" s="1"/>
    </row>
    <row r="284" spans="1:21" x14ac:dyDescent="0.45">
      <c r="A284">
        <v>282</v>
      </c>
      <c r="B284" s="16">
        <v>46044</v>
      </c>
      <c r="C284" s="1" t="s">
        <v>49</v>
      </c>
      <c r="D284" s="1" t="s">
        <v>104</v>
      </c>
      <c r="E284" s="1" t="s">
        <v>50</v>
      </c>
      <c r="F284" s="1" t="s">
        <v>0</v>
      </c>
      <c r="G284" s="1" t="s">
        <v>48</v>
      </c>
      <c r="H284" s="1">
        <v>1</v>
      </c>
      <c r="I284">
        <v>0</v>
      </c>
      <c r="J284" s="1" t="str" cm="1">
        <f t="array" ref="J284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プライマー</v>
      </c>
      <c r="K284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プライマー</v>
      </c>
      <c r="L284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モール</v>
      </c>
      <c r="M284" s="1" t="str" cm="1">
        <f t="array" ref="M284">_xlfn.XLOOKUP(TEXT(_不良集計ゾーン別ADO[[#This Row],[番号]],"@"),TEXT(_番号ADO[番号],"@"),_番号ADO[発生],"",0,1)</f>
        <v>モール</v>
      </c>
      <c r="N284" s="1" t="str">
        <f>_xlfn.IFS(MID(_不良集計ゾーン別ADO[[#This Row],[品番]],3,2)="Fr","Fr",MID(_不良集計ゾーン別ADO[[#This Row],[品番]],3,2)="Rr","Rr",TRUE,"")</f>
        <v>Rr</v>
      </c>
      <c r="O284" s="1" t="str">
        <f>IF(ISBLANK(_不良集計ゾーン別ADO[[#This Row],[品番]]),"",RIGHT(_不良集計ゾーン別ADO[[#This Row],[品番]],2))</f>
        <v>RH</v>
      </c>
      <c r="P284" s="1" t="str">
        <f>_xlfn.IFS(LEFT(_不良集計ゾーン別ADO[[#This Row],[品番]],2)="アル","アルヴェル",LEFT(_不良集計ゾーン別ADO[[#This Row],[品番]],2)="ノア","ノアヴォク",TRUE,"")</f>
        <v>アルヴェル</v>
      </c>
      <c r="U284" s="1"/>
    </row>
    <row r="285" spans="1:21" x14ac:dyDescent="0.45">
      <c r="A285">
        <v>283</v>
      </c>
      <c r="B285" s="16">
        <v>46044</v>
      </c>
      <c r="C285" s="1" t="s">
        <v>49</v>
      </c>
      <c r="D285" s="1" t="s">
        <v>104</v>
      </c>
      <c r="E285" s="1" t="s">
        <v>50</v>
      </c>
      <c r="F285" s="1" t="s">
        <v>4</v>
      </c>
      <c r="G285" s="1" t="s">
        <v>45</v>
      </c>
      <c r="H285" s="1">
        <v>1</v>
      </c>
      <c r="I285">
        <v>0</v>
      </c>
      <c r="J285" s="1" t="str" cm="1">
        <f t="array" ref="J285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SUSキズ</v>
      </c>
      <c r="K285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SUSキズ</v>
      </c>
      <c r="L285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モール</v>
      </c>
      <c r="M285" s="1" t="str" cm="1">
        <f t="array" ref="M285">_xlfn.XLOOKUP(TEXT(_不良集計ゾーン別ADO[[#This Row],[番号]],"@"),TEXT(_番号ADO[番号],"@"),_番号ADO[発生],"",0,1)</f>
        <v>モール</v>
      </c>
      <c r="N285" s="1" t="str">
        <f>_xlfn.IFS(MID(_不良集計ゾーン別ADO[[#This Row],[品番]],3,2)="Fr","Fr",MID(_不良集計ゾーン別ADO[[#This Row],[品番]],3,2)="Rr","Rr",TRUE,"")</f>
        <v>Rr</v>
      </c>
      <c r="O285" s="1" t="str">
        <f>IF(ISBLANK(_不良集計ゾーン別ADO[[#This Row],[品番]]),"",RIGHT(_不良集計ゾーン別ADO[[#This Row],[品番]],2))</f>
        <v>RH</v>
      </c>
      <c r="P285" s="1" t="str">
        <f>_xlfn.IFS(LEFT(_不良集計ゾーン別ADO[[#This Row],[品番]],2)="アル","アルヴェル",LEFT(_不良集計ゾーン別ADO[[#This Row],[品番]],2)="ノア","ノアヴォク",TRUE,"")</f>
        <v>アルヴェル</v>
      </c>
      <c r="U285" s="1"/>
    </row>
    <row r="286" spans="1:21" x14ac:dyDescent="0.45">
      <c r="A286">
        <v>284</v>
      </c>
      <c r="B286" s="16">
        <v>46044</v>
      </c>
      <c r="C286" s="1" t="s">
        <v>46</v>
      </c>
      <c r="D286" s="1" t="s">
        <v>104</v>
      </c>
      <c r="E286" s="1" t="s">
        <v>50</v>
      </c>
      <c r="F286" s="1" t="s">
        <v>0</v>
      </c>
      <c r="G286" s="1" t="s">
        <v>45</v>
      </c>
      <c r="H286" s="1">
        <v>1</v>
      </c>
      <c r="I286">
        <v>0</v>
      </c>
      <c r="J286" s="1" t="str" cm="1">
        <f t="array" ref="J286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SUSキズ</v>
      </c>
      <c r="K286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SUSキズ</v>
      </c>
      <c r="L286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モール</v>
      </c>
      <c r="M286" s="1" t="str" cm="1">
        <f t="array" ref="M286">_xlfn.XLOOKUP(TEXT(_不良集計ゾーン別ADO[[#This Row],[番号]],"@"),TEXT(_番号ADO[番号],"@"),_番号ADO[発生],"",0,1)</f>
        <v>モール</v>
      </c>
      <c r="N286" s="1" t="str">
        <f>_xlfn.IFS(MID(_不良集計ゾーン別ADO[[#This Row],[品番]],3,2)="Fr","Fr",MID(_不良集計ゾーン別ADO[[#This Row],[品番]],3,2)="Rr","Rr",TRUE,"")</f>
        <v>Rr</v>
      </c>
      <c r="O286" s="1" t="str">
        <f>IF(ISBLANK(_不良集計ゾーン別ADO[[#This Row],[品番]]),"",RIGHT(_不良集計ゾーン別ADO[[#This Row],[品番]],2))</f>
        <v>LH</v>
      </c>
      <c r="P286" s="1" t="str">
        <f>_xlfn.IFS(LEFT(_不良集計ゾーン別ADO[[#This Row],[品番]],2)="アル","アルヴェル",LEFT(_不良集計ゾーン別ADO[[#This Row],[品番]],2)="ノア","ノアヴォク",TRUE,"")</f>
        <v>アルヴェル</v>
      </c>
      <c r="U286" s="1"/>
    </row>
    <row r="287" spans="1:21" x14ac:dyDescent="0.45">
      <c r="A287">
        <v>285</v>
      </c>
      <c r="B287" s="16">
        <v>46043</v>
      </c>
      <c r="C287" s="1" t="s">
        <v>35</v>
      </c>
      <c r="D287" s="1" t="s">
        <v>107</v>
      </c>
      <c r="E287" s="1" t="s">
        <v>36</v>
      </c>
      <c r="F287" s="1" t="s">
        <v>4</v>
      </c>
      <c r="G287" s="1" t="s">
        <v>52</v>
      </c>
      <c r="H287" s="1">
        <v>2</v>
      </c>
      <c r="I287">
        <v>0</v>
      </c>
      <c r="J287" s="1" t="str" cm="1">
        <f t="array" ref="J287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287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287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287" s="1" t="str" cm="1">
        <f t="array" ref="M287">_xlfn.XLOOKUP(TEXT(_不良集計ゾーン別ADO[[#This Row],[番号]],"@"),TEXT(_番号ADO[番号],"@"),_番号ADO[発生],"",0,1)</f>
        <v>成形</v>
      </c>
      <c r="N287" s="1" t="str">
        <f>_xlfn.IFS(MID(_不良集計ゾーン別ADO[[#This Row],[品番]],3,2)="Fr","Fr",MID(_不良集計ゾーン別ADO[[#This Row],[品番]],3,2)="Rr","Rr",TRUE,"")</f>
        <v>Fr</v>
      </c>
      <c r="O287" s="1" t="str">
        <f>IF(ISBLANK(_不良集計ゾーン別ADO[[#This Row],[品番]]),"",RIGHT(_不良集計ゾーン別ADO[[#This Row],[品番]],2))</f>
        <v>LH</v>
      </c>
      <c r="P287" s="1" t="str">
        <f>_xlfn.IFS(LEFT(_不良集計ゾーン別ADO[[#This Row],[品番]],2)="アル","アルヴェル",LEFT(_不良集計ゾーン別ADO[[#This Row],[品番]],2)="ノア","ノアヴォク",TRUE,"")</f>
        <v>ノアヴォク</v>
      </c>
      <c r="U287" s="1"/>
    </row>
    <row r="288" spans="1:21" x14ac:dyDescent="0.45">
      <c r="A288">
        <v>286</v>
      </c>
      <c r="B288" s="16">
        <v>46043</v>
      </c>
      <c r="C288" s="1" t="s">
        <v>35</v>
      </c>
      <c r="D288" s="1" t="s">
        <v>107</v>
      </c>
      <c r="E288" s="1" t="s">
        <v>36</v>
      </c>
      <c r="F288" s="1" t="s">
        <v>3</v>
      </c>
      <c r="G288" s="1" t="s">
        <v>52</v>
      </c>
      <c r="H288" s="1">
        <v>1</v>
      </c>
      <c r="I288">
        <v>0</v>
      </c>
      <c r="J288" s="1" t="str" cm="1">
        <f t="array" ref="J288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288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288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288" s="1" t="str" cm="1">
        <f t="array" ref="M288">_xlfn.XLOOKUP(TEXT(_不良集計ゾーン別ADO[[#This Row],[番号]],"@"),TEXT(_番号ADO[番号],"@"),_番号ADO[発生],"",0,1)</f>
        <v>成形</v>
      </c>
      <c r="N288" s="1" t="str">
        <f>_xlfn.IFS(MID(_不良集計ゾーン別ADO[[#This Row],[品番]],3,2)="Fr","Fr",MID(_不良集計ゾーン別ADO[[#This Row],[品番]],3,2)="Rr","Rr",TRUE,"")</f>
        <v>Fr</v>
      </c>
      <c r="O288" s="1" t="str">
        <f>IF(ISBLANK(_不良集計ゾーン別ADO[[#This Row],[品番]]),"",RIGHT(_不良集計ゾーン別ADO[[#This Row],[品番]],2))</f>
        <v>LH</v>
      </c>
      <c r="P288" s="1" t="str">
        <f>_xlfn.IFS(LEFT(_不良集計ゾーン別ADO[[#This Row],[品番]],2)="アル","アルヴェル",LEFT(_不良集計ゾーン別ADO[[#This Row],[品番]],2)="ノア","ノアヴォク",TRUE,"")</f>
        <v>ノアヴォク</v>
      </c>
      <c r="U288" s="1"/>
    </row>
    <row r="289" spans="1:21" x14ac:dyDescent="0.45">
      <c r="A289">
        <v>287</v>
      </c>
      <c r="B289" s="16">
        <v>46043</v>
      </c>
      <c r="C289" s="1" t="s">
        <v>35</v>
      </c>
      <c r="D289" s="1" t="s">
        <v>107</v>
      </c>
      <c r="E289" s="1" t="s">
        <v>36</v>
      </c>
      <c r="F289" s="1" t="s">
        <v>4</v>
      </c>
      <c r="G289" s="1" t="s">
        <v>52</v>
      </c>
      <c r="H289" s="1">
        <v>1</v>
      </c>
      <c r="I289">
        <v>0</v>
      </c>
      <c r="J289" s="1" t="str" cm="1">
        <f t="array" ref="J289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289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289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289" s="1" t="str" cm="1">
        <f t="array" ref="M289">_xlfn.XLOOKUP(TEXT(_不良集計ゾーン別ADO[[#This Row],[番号]],"@"),TEXT(_番号ADO[番号],"@"),_番号ADO[発生],"",0,1)</f>
        <v>成形</v>
      </c>
      <c r="N289" s="1" t="str">
        <f>_xlfn.IFS(MID(_不良集計ゾーン別ADO[[#This Row],[品番]],3,2)="Fr","Fr",MID(_不良集計ゾーン別ADO[[#This Row],[品番]],3,2)="Rr","Rr",TRUE,"")</f>
        <v>Fr</v>
      </c>
      <c r="O289" s="1" t="str">
        <f>IF(ISBLANK(_不良集計ゾーン別ADO[[#This Row],[品番]]),"",RIGHT(_不良集計ゾーン別ADO[[#This Row],[品番]],2))</f>
        <v>LH</v>
      </c>
      <c r="P289" s="1" t="str">
        <f>_xlfn.IFS(LEFT(_不良集計ゾーン別ADO[[#This Row],[品番]],2)="アル","アルヴェル",LEFT(_不良集計ゾーン別ADO[[#This Row],[品番]],2)="ノア","ノアヴォク",TRUE,"")</f>
        <v>ノアヴォク</v>
      </c>
      <c r="U289" s="1"/>
    </row>
    <row r="290" spans="1:21" x14ac:dyDescent="0.45">
      <c r="A290">
        <v>288</v>
      </c>
      <c r="B290" s="16">
        <v>46043</v>
      </c>
      <c r="C290" s="1" t="s">
        <v>35</v>
      </c>
      <c r="D290" s="1" t="s">
        <v>107</v>
      </c>
      <c r="E290" s="1" t="s">
        <v>36</v>
      </c>
      <c r="F290" s="1" t="s">
        <v>4</v>
      </c>
      <c r="G290" s="1" t="s">
        <v>38</v>
      </c>
      <c r="H290" s="1">
        <v>1</v>
      </c>
      <c r="I290">
        <v>0</v>
      </c>
      <c r="J290" s="1" t="str" cm="1">
        <f t="array" ref="J290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塗装はげ</v>
      </c>
      <c r="K290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塗装はげ</v>
      </c>
      <c r="L290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290" s="1" t="str" cm="1">
        <f t="array" ref="M290">_xlfn.XLOOKUP(TEXT(_不良集計ゾーン別ADO[[#This Row],[番号]],"@"),TEXT(_番号ADO[番号],"@"),_番号ADO[発生],"",0,1)</f>
        <v>塗装</v>
      </c>
      <c r="N290" s="1" t="str">
        <f>_xlfn.IFS(MID(_不良集計ゾーン別ADO[[#This Row],[品番]],3,2)="Fr","Fr",MID(_不良集計ゾーン別ADO[[#This Row],[品番]],3,2)="Rr","Rr",TRUE,"")</f>
        <v>Fr</v>
      </c>
      <c r="O290" s="1" t="str">
        <f>IF(ISBLANK(_不良集計ゾーン別ADO[[#This Row],[品番]]),"",RIGHT(_不良集計ゾーン別ADO[[#This Row],[品番]],2))</f>
        <v>LH</v>
      </c>
      <c r="P290" s="1" t="str">
        <f>_xlfn.IFS(LEFT(_不良集計ゾーン別ADO[[#This Row],[品番]],2)="アル","アルヴェル",LEFT(_不良集計ゾーン別ADO[[#This Row],[品番]],2)="ノア","ノアヴォク",TRUE,"")</f>
        <v>ノアヴォク</v>
      </c>
      <c r="U290" s="1"/>
    </row>
    <row r="291" spans="1:21" x14ac:dyDescent="0.45">
      <c r="A291">
        <v>289</v>
      </c>
      <c r="B291" s="16">
        <v>46043</v>
      </c>
      <c r="C291" s="1" t="s">
        <v>41</v>
      </c>
      <c r="D291" s="1" t="s">
        <v>107</v>
      </c>
      <c r="E291" s="1" t="s">
        <v>36</v>
      </c>
      <c r="F291" s="1" t="s">
        <v>2</v>
      </c>
      <c r="G291" s="1" t="s">
        <v>52</v>
      </c>
      <c r="H291" s="1">
        <v>1</v>
      </c>
      <c r="I291">
        <v>0</v>
      </c>
      <c r="J291" s="1" t="str" cm="1">
        <f t="array" ref="J291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291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291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291" s="1" t="str" cm="1">
        <f t="array" ref="M291">_xlfn.XLOOKUP(TEXT(_不良集計ゾーン別ADO[[#This Row],[番号]],"@"),TEXT(_番号ADO[番号],"@"),_番号ADO[発生],"",0,1)</f>
        <v>成形</v>
      </c>
      <c r="N291" s="1" t="str">
        <f>_xlfn.IFS(MID(_不良集計ゾーン別ADO[[#This Row],[品番]],3,2)="Fr","Fr",MID(_不良集計ゾーン別ADO[[#This Row],[品番]],3,2)="Rr","Rr",TRUE,"")</f>
        <v>Fr</v>
      </c>
      <c r="O291" s="1" t="str">
        <f>IF(ISBLANK(_不良集計ゾーン別ADO[[#This Row],[品番]]),"",RIGHT(_不良集計ゾーン別ADO[[#This Row],[品番]],2))</f>
        <v>RH</v>
      </c>
      <c r="P291" s="1" t="str">
        <f>_xlfn.IFS(LEFT(_不良集計ゾーン別ADO[[#This Row],[品番]],2)="アル","アルヴェル",LEFT(_不良集計ゾーン別ADO[[#This Row],[品番]],2)="ノア","ノアヴォク",TRUE,"")</f>
        <v>ノアヴォク</v>
      </c>
      <c r="U291" s="1"/>
    </row>
    <row r="292" spans="1:21" x14ac:dyDescent="0.45">
      <c r="A292">
        <v>290</v>
      </c>
      <c r="B292" s="16">
        <v>46043</v>
      </c>
      <c r="C292" s="1" t="s">
        <v>42</v>
      </c>
      <c r="D292" s="1" t="s">
        <v>107</v>
      </c>
      <c r="E292" s="1" t="s">
        <v>36</v>
      </c>
      <c r="F292" s="1" t="s">
        <v>3</v>
      </c>
      <c r="G292" s="1" t="s">
        <v>71</v>
      </c>
      <c r="H292" s="1">
        <v>1</v>
      </c>
      <c r="I292">
        <v>0</v>
      </c>
      <c r="J292" s="1" t="str" cm="1">
        <f t="array" ref="J292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糸引き</v>
      </c>
      <c r="K292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糸引き</v>
      </c>
      <c r="L292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292" s="1" t="str" cm="1">
        <f t="array" ref="M292">_xlfn.XLOOKUP(TEXT(_不良集計ゾーン別ADO[[#This Row],[番号]],"@"),TEXT(_番号ADO[番号],"@"),_番号ADO[発生],"",0,1)</f>
        <v>成形</v>
      </c>
      <c r="N292" s="1" t="str">
        <f>_xlfn.IFS(MID(_不良集計ゾーン別ADO[[#This Row],[品番]],3,2)="Fr","Fr",MID(_不良集計ゾーン別ADO[[#This Row],[品番]],3,2)="Rr","Rr",TRUE,"")</f>
        <v>Rr</v>
      </c>
      <c r="O292" s="1" t="str">
        <f>IF(ISBLANK(_不良集計ゾーン別ADO[[#This Row],[品番]]),"",RIGHT(_不良集計ゾーン別ADO[[#This Row],[品番]],2))</f>
        <v>LH</v>
      </c>
      <c r="P292" s="1" t="str">
        <f>_xlfn.IFS(LEFT(_不良集計ゾーン別ADO[[#This Row],[品番]],2)="アル","アルヴェル",LEFT(_不良集計ゾーン別ADO[[#This Row],[品番]],2)="ノア","ノアヴォク",TRUE,"")</f>
        <v>ノアヴォク</v>
      </c>
      <c r="U292" s="1"/>
    </row>
    <row r="293" spans="1:21" x14ac:dyDescent="0.45">
      <c r="A293">
        <v>291</v>
      </c>
      <c r="B293" s="16">
        <v>46043</v>
      </c>
      <c r="C293" s="1" t="s">
        <v>42</v>
      </c>
      <c r="D293" s="1" t="s">
        <v>107</v>
      </c>
      <c r="E293" s="1" t="s">
        <v>36</v>
      </c>
      <c r="F293" s="1" t="s">
        <v>1</v>
      </c>
      <c r="G293" s="1" t="s">
        <v>52</v>
      </c>
      <c r="H293" s="1">
        <v>1</v>
      </c>
      <c r="I293">
        <v>0</v>
      </c>
      <c r="J293" s="1" t="str" cm="1">
        <f t="array" ref="J293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293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293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293" s="1" t="str" cm="1">
        <f t="array" ref="M293">_xlfn.XLOOKUP(TEXT(_不良集計ゾーン別ADO[[#This Row],[番号]],"@"),TEXT(_番号ADO[番号],"@"),_番号ADO[発生],"",0,1)</f>
        <v>成形</v>
      </c>
      <c r="N293" s="1" t="str">
        <f>_xlfn.IFS(MID(_不良集計ゾーン別ADO[[#This Row],[品番]],3,2)="Fr","Fr",MID(_不良集計ゾーン別ADO[[#This Row],[品番]],3,2)="Rr","Rr",TRUE,"")</f>
        <v>Rr</v>
      </c>
      <c r="O293" s="1" t="str">
        <f>IF(ISBLANK(_不良集計ゾーン別ADO[[#This Row],[品番]]),"",RIGHT(_不良集計ゾーン別ADO[[#This Row],[品番]],2))</f>
        <v>LH</v>
      </c>
      <c r="P293" s="1" t="str">
        <f>_xlfn.IFS(LEFT(_不良集計ゾーン別ADO[[#This Row],[品番]],2)="アル","アルヴェル",LEFT(_不良集計ゾーン別ADO[[#This Row],[品番]],2)="ノア","ノアヴォク",TRUE,"")</f>
        <v>ノアヴォク</v>
      </c>
      <c r="U293" s="1"/>
    </row>
    <row r="294" spans="1:21" x14ac:dyDescent="0.45">
      <c r="A294">
        <v>292</v>
      </c>
      <c r="B294" s="16">
        <v>46043</v>
      </c>
      <c r="C294" s="1" t="s">
        <v>42</v>
      </c>
      <c r="D294" s="1" t="s">
        <v>107</v>
      </c>
      <c r="E294" s="1" t="s">
        <v>36</v>
      </c>
      <c r="F294" s="1" t="s">
        <v>0</v>
      </c>
      <c r="G294" s="1" t="s">
        <v>52</v>
      </c>
      <c r="H294" s="1">
        <v>1</v>
      </c>
      <c r="I294">
        <v>0</v>
      </c>
      <c r="J294" s="1" t="str" cm="1">
        <f t="array" ref="J294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294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294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294" s="1" t="str" cm="1">
        <f t="array" ref="M294">_xlfn.XLOOKUP(TEXT(_不良集計ゾーン別ADO[[#This Row],[番号]],"@"),TEXT(_番号ADO[番号],"@"),_番号ADO[発生],"",0,1)</f>
        <v>成形</v>
      </c>
      <c r="N294" s="1" t="str">
        <f>_xlfn.IFS(MID(_不良集計ゾーン別ADO[[#This Row],[品番]],3,2)="Fr","Fr",MID(_不良集計ゾーン別ADO[[#This Row],[品番]],3,2)="Rr","Rr",TRUE,"")</f>
        <v>Rr</v>
      </c>
      <c r="O294" s="1" t="str">
        <f>IF(ISBLANK(_不良集計ゾーン別ADO[[#This Row],[品番]]),"",RIGHT(_不良集計ゾーン別ADO[[#This Row],[品番]],2))</f>
        <v>LH</v>
      </c>
      <c r="P294" s="1" t="str">
        <f>_xlfn.IFS(LEFT(_不良集計ゾーン別ADO[[#This Row],[品番]],2)="アル","アルヴェル",LEFT(_不良集計ゾーン別ADO[[#This Row],[品番]],2)="ノア","ノアヴォク",TRUE,"")</f>
        <v>ノアヴォク</v>
      </c>
      <c r="U294" s="1"/>
    </row>
    <row r="295" spans="1:21" x14ac:dyDescent="0.45">
      <c r="A295">
        <v>293</v>
      </c>
      <c r="B295" s="16">
        <v>46043</v>
      </c>
      <c r="C295" s="1" t="s">
        <v>43</v>
      </c>
      <c r="D295" s="1" t="s">
        <v>107</v>
      </c>
      <c r="E295" s="1" t="s">
        <v>36</v>
      </c>
      <c r="F295" s="1" t="s">
        <v>0</v>
      </c>
      <c r="G295" s="1" t="s">
        <v>40</v>
      </c>
      <c r="H295" s="1">
        <v>1</v>
      </c>
      <c r="I295">
        <v>0</v>
      </c>
      <c r="J295" s="1" t="str" cm="1">
        <f t="array" ref="J295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塗料付着</v>
      </c>
      <c r="K295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塗料付着</v>
      </c>
      <c r="L295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295" s="1" t="str" cm="1">
        <f t="array" ref="M295">_xlfn.XLOOKUP(TEXT(_不良集計ゾーン別ADO[[#This Row],[番号]],"@"),TEXT(_番号ADO[番号],"@"),_番号ADO[発生],"",0,1)</f>
        <v>塗装</v>
      </c>
      <c r="N295" s="1" t="str">
        <f>_xlfn.IFS(MID(_不良集計ゾーン別ADO[[#This Row],[品番]],3,2)="Fr","Fr",MID(_不良集計ゾーン別ADO[[#This Row],[品番]],3,2)="Rr","Rr",TRUE,"")</f>
        <v>Rr</v>
      </c>
      <c r="O295" s="1" t="str">
        <f>IF(ISBLANK(_不良集計ゾーン別ADO[[#This Row],[品番]]),"",RIGHT(_不良集計ゾーン別ADO[[#This Row],[品番]],2))</f>
        <v>RH</v>
      </c>
      <c r="P295" s="1" t="str">
        <f>_xlfn.IFS(LEFT(_不良集計ゾーン別ADO[[#This Row],[品番]],2)="アル","アルヴェル",LEFT(_不良集計ゾーン別ADO[[#This Row],[品番]],2)="ノア","ノアヴォク",TRUE,"")</f>
        <v>ノアヴォク</v>
      </c>
      <c r="U295" s="1"/>
    </row>
    <row r="296" spans="1:21" x14ac:dyDescent="0.45">
      <c r="A296">
        <v>294</v>
      </c>
      <c r="B296" s="16">
        <v>46043</v>
      </c>
      <c r="C296" s="1" t="s">
        <v>43</v>
      </c>
      <c r="D296" s="1" t="s">
        <v>107</v>
      </c>
      <c r="E296" s="1" t="s">
        <v>36</v>
      </c>
      <c r="F296" s="1" t="s">
        <v>1</v>
      </c>
      <c r="G296" s="1" t="s">
        <v>37</v>
      </c>
      <c r="H296" s="1">
        <v>1</v>
      </c>
      <c r="I296">
        <v>0</v>
      </c>
      <c r="J296" s="1" t="str" cm="1">
        <f t="array" ref="J296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キズ</v>
      </c>
      <c r="K296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キズ</v>
      </c>
      <c r="L296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296" s="1" t="str" cm="1">
        <f t="array" ref="M296">_xlfn.XLOOKUP(TEXT(_不良集計ゾーン別ADO[[#This Row],[番号]],"@"),TEXT(_番号ADO[番号],"@"),_番号ADO[発生],"",0,1)</f>
        <v>塗装</v>
      </c>
      <c r="N296" s="1" t="str">
        <f>_xlfn.IFS(MID(_不良集計ゾーン別ADO[[#This Row],[品番]],3,2)="Fr","Fr",MID(_不良集計ゾーン別ADO[[#This Row],[品番]],3,2)="Rr","Rr",TRUE,"")</f>
        <v>Rr</v>
      </c>
      <c r="O296" s="1" t="str">
        <f>IF(ISBLANK(_不良集計ゾーン別ADO[[#This Row],[品番]]),"",RIGHT(_不良集計ゾーン別ADO[[#This Row],[品番]],2))</f>
        <v>RH</v>
      </c>
      <c r="P296" s="1" t="str">
        <f>_xlfn.IFS(LEFT(_不良集計ゾーン別ADO[[#This Row],[品番]],2)="アル","アルヴェル",LEFT(_不良集計ゾーン別ADO[[#This Row],[品番]],2)="ノア","ノアヴォク",TRUE,"")</f>
        <v>ノアヴォク</v>
      </c>
      <c r="U296" s="1"/>
    </row>
    <row r="297" spans="1:21" x14ac:dyDescent="0.45">
      <c r="A297">
        <v>295</v>
      </c>
      <c r="B297" s="16">
        <v>46043</v>
      </c>
      <c r="C297" s="1" t="s">
        <v>43</v>
      </c>
      <c r="D297" s="1" t="s">
        <v>107</v>
      </c>
      <c r="E297" s="1" t="s">
        <v>36</v>
      </c>
      <c r="F297" s="1" t="s">
        <v>4</v>
      </c>
      <c r="G297" s="1" t="s">
        <v>64</v>
      </c>
      <c r="H297" s="1">
        <v>1</v>
      </c>
      <c r="I297">
        <v>0</v>
      </c>
      <c r="J297" s="1" t="str" cm="1">
        <f t="array" ref="J297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ウエルド</v>
      </c>
      <c r="K297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ウエルド</v>
      </c>
      <c r="L297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297" s="1" t="str" cm="1">
        <f t="array" ref="M297">_xlfn.XLOOKUP(TEXT(_不良集計ゾーン別ADO[[#This Row],[番号]],"@"),TEXT(_番号ADO[番号],"@"),_番号ADO[発生],"",0,1)</f>
        <v>成形</v>
      </c>
      <c r="N297" s="1" t="str">
        <f>_xlfn.IFS(MID(_不良集計ゾーン別ADO[[#This Row],[品番]],3,2)="Fr","Fr",MID(_不良集計ゾーン別ADO[[#This Row],[品番]],3,2)="Rr","Rr",TRUE,"")</f>
        <v>Rr</v>
      </c>
      <c r="O297" s="1" t="str">
        <f>IF(ISBLANK(_不良集計ゾーン別ADO[[#This Row],[品番]]),"",RIGHT(_不良集計ゾーン別ADO[[#This Row],[品番]],2))</f>
        <v>RH</v>
      </c>
      <c r="P297" s="1" t="str">
        <f>_xlfn.IFS(LEFT(_不良集計ゾーン別ADO[[#This Row],[品番]],2)="アル","アルヴェル",LEFT(_不良集計ゾーン別ADO[[#This Row],[品番]],2)="ノア","ノアヴォク",TRUE,"")</f>
        <v>ノアヴォク</v>
      </c>
      <c r="U297" s="1"/>
    </row>
    <row r="298" spans="1:21" x14ac:dyDescent="0.45">
      <c r="A298">
        <v>296</v>
      </c>
      <c r="B298" s="16">
        <v>46043</v>
      </c>
      <c r="C298" s="1" t="s">
        <v>54</v>
      </c>
      <c r="D298" s="1" t="s">
        <v>197</v>
      </c>
      <c r="E298" s="1" t="s">
        <v>36</v>
      </c>
      <c r="F298" s="1" t="s">
        <v>1</v>
      </c>
      <c r="G298" s="1" t="s">
        <v>114</v>
      </c>
      <c r="H298" s="1">
        <v>1</v>
      </c>
      <c r="I298">
        <v>0</v>
      </c>
      <c r="J298" s="1" t="str" cm="1">
        <f t="array" ref="J298">IF(_不良集計ゾーン別ADO[[#This Row],[日付]] &lt; DATE(2025,11,1),
    _xlfn.XLOOKUP(TEXT(_不良集計ゾーン別ADO[[#This Row],[番号]],"@"), TEXT(_番号ADOold[番号],"@"), _番号ADOold[モード], "", 0, 1),
    _xlfn.XLOOKUP(TEXT(_不良集計ゾーン別ADO[[#This Row],[番号]],"@"), TEXT(_番号ADO[番号],"@"), _番号ADO[モード],     "", 0, 1)
)</f>
        <v>加工キズ</v>
      </c>
      <c r="K298" s="1" t="str">
        <f>IF(LEFT(_不良集計ゾーン別ADO[[#This Row],[モード]],1)="裏",RIGHT(_不良集計ゾーン別ADO[[#This Row],[モード]],LEN(_不良集計ゾーン別ADO[[#This Row],[モード]])-1),_不良集計ゾーン別ADO[[#This Row],[モード]])</f>
        <v>加工キズ</v>
      </c>
      <c r="L298" s="1" t="str">
        <f>_xlfn.IFS(_不良集計ゾーン別ADO[[#This Row],[発見]]="S","成形",_不良集計ゾーン別ADO[[#This Row],[発見]]="T","塗装",_不良集計ゾーン別ADO[[#This Row],[発見]]="M","モール",_不良集計ゾーン別ADO[[#This Row],[発見]]="K","加工",TRUE,"")</f>
        <v>加工</v>
      </c>
      <c r="M298" s="1" t="str" cm="1">
        <f t="array" ref="M298">_xlfn.XLOOKUP(TEXT(_不良集計ゾーン別ADO[[#This Row],[番号]],"@"),TEXT(_番号ADO[番号],"@"),_番号ADO[発生],"",0,1)</f>
        <v>加工</v>
      </c>
      <c r="N298" s="1" t="str">
        <f>_xlfn.IFS(MID(_不良集計ゾーン別ADO[[#This Row],[品番]],3,2)="Fr","Fr",MID(_不良集計ゾーン別ADO[[#This Row],[品番]],3,2)="Rr","Rr",TRUE,"")</f>
        <v>Fr</v>
      </c>
      <c r="O298" s="1" t="str">
        <f>IF(ISBLANK(_不良集計ゾーン別ADO[[#This Row],[品番]]),"",RIGHT(_不良集計ゾーン別ADO[[#This Row],[品番]],2))</f>
        <v>RH</v>
      </c>
      <c r="P298" s="1" t="str">
        <f>_xlfn.IFS(LEFT(_不良集計ゾーン別ADO[[#This Row],[品番]],2)="アル","アルヴェル",LEFT(_不良集計ゾーン別ADO[[#This Row],[品番]],2)="ノア","ノアヴォク",TRUE,"")</f>
        <v>アルヴェル</v>
      </c>
      <c r="U298" s="1"/>
    </row>
    <row r="299" spans="1:21" x14ac:dyDescent="0.45">
      <c r="A299"/>
      <c r="B299" s="1" t="s">
        <v>190</v>
      </c>
      <c r="H299" s="1">
        <f>SUBTOTAL(109,_不良集計ゾーン別ADO[数量])</f>
        <v>518</v>
      </c>
      <c r="I299"/>
      <c r="U299" s="1"/>
    </row>
    <row r="300" spans="1:21" x14ac:dyDescent="0.45">
      <c r="U300" s="1"/>
    </row>
    <row r="301" spans="1:21" x14ac:dyDescent="0.45">
      <c r="U301" s="1"/>
    </row>
    <row r="302" spans="1:21" x14ac:dyDescent="0.45">
      <c r="U302" s="1"/>
    </row>
    <row r="303" spans="1:21" x14ac:dyDescent="0.45">
      <c r="U303" s="1"/>
    </row>
    <row r="304" spans="1:21" x14ac:dyDescent="0.45">
      <c r="U304" s="1"/>
    </row>
    <row r="305" spans="21:21" x14ac:dyDescent="0.45">
      <c r="U305" s="1"/>
    </row>
    <row r="306" spans="21:21" x14ac:dyDescent="0.45">
      <c r="U306" s="1"/>
    </row>
    <row r="307" spans="21:21" x14ac:dyDescent="0.45">
      <c r="U307" s="1"/>
    </row>
    <row r="308" spans="21:21" x14ac:dyDescent="0.45">
      <c r="U308" s="1"/>
    </row>
    <row r="309" spans="21:21" x14ac:dyDescent="0.45">
      <c r="U309" s="1"/>
    </row>
    <row r="310" spans="21:21" x14ac:dyDescent="0.45">
      <c r="U310" s="1"/>
    </row>
    <row r="311" spans="21:21" x14ac:dyDescent="0.45">
      <c r="U311" s="1"/>
    </row>
    <row r="312" spans="21:21" x14ac:dyDescent="0.45">
      <c r="U312" s="1"/>
    </row>
    <row r="313" spans="21:21" x14ac:dyDescent="0.45">
      <c r="U313" s="1"/>
    </row>
    <row r="314" spans="21:21" x14ac:dyDescent="0.45">
      <c r="U314" s="1"/>
    </row>
    <row r="315" spans="21:21" x14ac:dyDescent="0.45">
      <c r="U315" s="1"/>
    </row>
    <row r="316" spans="21:21" x14ac:dyDescent="0.45">
      <c r="U316" s="1"/>
    </row>
    <row r="317" spans="21:21" x14ac:dyDescent="0.45">
      <c r="U317" s="1"/>
    </row>
    <row r="318" spans="21:21" x14ac:dyDescent="0.45">
      <c r="U318" s="1"/>
    </row>
    <row r="319" spans="21:21" x14ac:dyDescent="0.45">
      <c r="U319" s="1"/>
    </row>
    <row r="320" spans="21:21" x14ac:dyDescent="0.45">
      <c r="U320" s="1"/>
    </row>
    <row r="321" spans="21:21" x14ac:dyDescent="0.45">
      <c r="U321" s="1"/>
    </row>
    <row r="322" spans="21:21" x14ac:dyDescent="0.45">
      <c r="U322" s="1"/>
    </row>
    <row r="323" spans="21:21" x14ac:dyDescent="0.45">
      <c r="U323" s="1"/>
    </row>
    <row r="324" spans="21:21" x14ac:dyDescent="0.45">
      <c r="U324" s="1"/>
    </row>
    <row r="325" spans="21:21" x14ac:dyDescent="0.45">
      <c r="U325" s="1"/>
    </row>
    <row r="326" spans="21:21" x14ac:dyDescent="0.45">
      <c r="U326" s="1"/>
    </row>
    <row r="327" spans="21:21" x14ac:dyDescent="0.45">
      <c r="U327" s="1"/>
    </row>
    <row r="328" spans="21:21" x14ac:dyDescent="0.45">
      <c r="U328" s="1"/>
    </row>
    <row r="329" spans="21:21" x14ac:dyDescent="0.45">
      <c r="U329" s="1"/>
    </row>
    <row r="330" spans="21:21" x14ac:dyDescent="0.45">
      <c r="U330" s="1"/>
    </row>
    <row r="331" spans="21:21" x14ac:dyDescent="0.45">
      <c r="U331" s="1"/>
    </row>
    <row r="332" spans="21:21" x14ac:dyDescent="0.45">
      <c r="U332" s="1"/>
    </row>
    <row r="333" spans="21:21" x14ac:dyDescent="0.45">
      <c r="U333" s="1"/>
    </row>
    <row r="334" spans="21:21" x14ac:dyDescent="0.45">
      <c r="U334" s="1"/>
    </row>
    <row r="335" spans="21:21" x14ac:dyDescent="0.45">
      <c r="U335" s="1"/>
    </row>
    <row r="336" spans="21:21" x14ac:dyDescent="0.45">
      <c r="U336" s="1"/>
    </row>
    <row r="337" spans="21:21" x14ac:dyDescent="0.45">
      <c r="U337" s="1"/>
    </row>
    <row r="338" spans="21:21" x14ac:dyDescent="0.45">
      <c r="U338" s="1"/>
    </row>
    <row r="339" spans="21:21" x14ac:dyDescent="0.45">
      <c r="U339" s="1"/>
    </row>
    <row r="340" spans="21:21" x14ac:dyDescent="0.45">
      <c r="U340" s="1"/>
    </row>
    <row r="341" spans="21:21" x14ac:dyDescent="0.45">
      <c r="U341" s="1"/>
    </row>
    <row r="342" spans="21:21" x14ac:dyDescent="0.45">
      <c r="U342" s="1"/>
    </row>
    <row r="343" spans="21:21" x14ac:dyDescent="0.45">
      <c r="U343" s="1"/>
    </row>
    <row r="344" spans="21:21" x14ac:dyDescent="0.45">
      <c r="U344" s="1"/>
    </row>
    <row r="345" spans="21:21" x14ac:dyDescent="0.45">
      <c r="U345" s="1"/>
    </row>
    <row r="346" spans="21:21" x14ac:dyDescent="0.45">
      <c r="U346" s="1"/>
    </row>
    <row r="347" spans="21:21" x14ac:dyDescent="0.45">
      <c r="U347" s="1"/>
    </row>
    <row r="348" spans="21:21" x14ac:dyDescent="0.45">
      <c r="U348" s="1"/>
    </row>
    <row r="349" spans="21:21" x14ac:dyDescent="0.45">
      <c r="U349" s="1"/>
    </row>
    <row r="350" spans="21:21" x14ac:dyDescent="0.45">
      <c r="U350" s="1"/>
    </row>
    <row r="351" spans="21:21" x14ac:dyDescent="0.45">
      <c r="U351" s="1"/>
    </row>
    <row r="352" spans="21:21" x14ac:dyDescent="0.45">
      <c r="U352" s="1"/>
    </row>
    <row r="353" spans="21:21" x14ac:dyDescent="0.45">
      <c r="U353" s="1"/>
    </row>
    <row r="354" spans="21:21" x14ac:dyDescent="0.45">
      <c r="U354" s="1"/>
    </row>
    <row r="355" spans="21:21" x14ac:dyDescent="0.45">
      <c r="U355" s="1"/>
    </row>
    <row r="356" spans="21:21" x14ac:dyDescent="0.45">
      <c r="U356" s="1"/>
    </row>
    <row r="357" spans="21:21" x14ac:dyDescent="0.45">
      <c r="U357" s="1"/>
    </row>
    <row r="358" spans="21:21" x14ac:dyDescent="0.45">
      <c r="U358" s="1"/>
    </row>
    <row r="359" spans="21:21" x14ac:dyDescent="0.45">
      <c r="U359" s="1"/>
    </row>
    <row r="360" spans="21:21" x14ac:dyDescent="0.45">
      <c r="U360" s="1"/>
    </row>
    <row r="361" spans="21:21" x14ac:dyDescent="0.45">
      <c r="U361" s="1"/>
    </row>
    <row r="362" spans="21:21" x14ac:dyDescent="0.45">
      <c r="U362" s="1"/>
    </row>
    <row r="363" spans="21:21" x14ac:dyDescent="0.45">
      <c r="U363" s="1"/>
    </row>
    <row r="364" spans="21:21" x14ac:dyDescent="0.45">
      <c r="U364" s="1"/>
    </row>
    <row r="365" spans="21:21" x14ac:dyDescent="0.45">
      <c r="U365" s="1"/>
    </row>
    <row r="366" spans="21:21" x14ac:dyDescent="0.45">
      <c r="U366" s="1"/>
    </row>
    <row r="367" spans="21:21" x14ac:dyDescent="0.45">
      <c r="U367" s="1"/>
    </row>
    <row r="368" spans="21:21" x14ac:dyDescent="0.45">
      <c r="U368" s="1"/>
    </row>
    <row r="369" spans="21:21" x14ac:dyDescent="0.45">
      <c r="U369" s="1"/>
    </row>
    <row r="370" spans="21:21" x14ac:dyDescent="0.45">
      <c r="U370" s="1"/>
    </row>
    <row r="371" spans="21:21" x14ac:dyDescent="0.45">
      <c r="U371" s="1"/>
    </row>
    <row r="372" spans="21:21" x14ac:dyDescent="0.45">
      <c r="U372" s="1"/>
    </row>
    <row r="373" spans="21:21" x14ac:dyDescent="0.45">
      <c r="U373" s="1"/>
    </row>
    <row r="374" spans="21:21" x14ac:dyDescent="0.45">
      <c r="U374" s="1"/>
    </row>
    <row r="375" spans="21:21" x14ac:dyDescent="0.45">
      <c r="U375" s="1"/>
    </row>
    <row r="376" spans="21:21" x14ac:dyDescent="0.45">
      <c r="U376" s="1"/>
    </row>
    <row r="377" spans="21:21" x14ac:dyDescent="0.45">
      <c r="U377" s="1"/>
    </row>
    <row r="378" spans="21:21" x14ac:dyDescent="0.45">
      <c r="U378" s="1"/>
    </row>
    <row r="379" spans="21:21" x14ac:dyDescent="0.45">
      <c r="U379" s="1"/>
    </row>
    <row r="380" spans="21:21" x14ac:dyDescent="0.45">
      <c r="U380" s="1"/>
    </row>
    <row r="381" spans="21:21" x14ac:dyDescent="0.45">
      <c r="U381" s="1"/>
    </row>
    <row r="382" spans="21:21" x14ac:dyDescent="0.45">
      <c r="U382" s="1"/>
    </row>
    <row r="383" spans="21:21" x14ac:dyDescent="0.45">
      <c r="U383" s="1"/>
    </row>
    <row r="384" spans="21:21" x14ac:dyDescent="0.45">
      <c r="U384" s="1"/>
    </row>
    <row r="385" spans="21:21" x14ac:dyDescent="0.45">
      <c r="U385" s="1"/>
    </row>
    <row r="386" spans="21:21" x14ac:dyDescent="0.45">
      <c r="U386" s="1"/>
    </row>
    <row r="387" spans="21:21" x14ac:dyDescent="0.45">
      <c r="U387" s="1"/>
    </row>
    <row r="388" spans="21:21" x14ac:dyDescent="0.45">
      <c r="U388" s="1"/>
    </row>
    <row r="389" spans="21:21" x14ac:dyDescent="0.45">
      <c r="U389" s="1"/>
    </row>
    <row r="390" spans="21:21" x14ac:dyDescent="0.45">
      <c r="U390" s="1"/>
    </row>
    <row r="391" spans="21:21" x14ac:dyDescent="0.45">
      <c r="U391" s="1"/>
    </row>
    <row r="392" spans="21:21" x14ac:dyDescent="0.45">
      <c r="U392" s="1"/>
    </row>
    <row r="393" spans="21:21" x14ac:dyDescent="0.45">
      <c r="U393" s="1"/>
    </row>
    <row r="394" spans="21:21" x14ac:dyDescent="0.45">
      <c r="U394" s="1"/>
    </row>
    <row r="395" spans="21:21" x14ac:dyDescent="0.45">
      <c r="U395" s="1"/>
    </row>
    <row r="396" spans="21:21" x14ac:dyDescent="0.45">
      <c r="U396" s="1"/>
    </row>
    <row r="397" spans="21:21" x14ac:dyDescent="0.45">
      <c r="U397" s="1"/>
    </row>
    <row r="398" spans="21:21" x14ac:dyDescent="0.45">
      <c r="U398" s="1"/>
    </row>
    <row r="399" spans="21:21" x14ac:dyDescent="0.45">
      <c r="U399" s="1"/>
    </row>
    <row r="400" spans="21:21" x14ac:dyDescent="0.45">
      <c r="U400" s="1"/>
    </row>
    <row r="401" spans="21:21" x14ac:dyDescent="0.45">
      <c r="U401" s="1"/>
    </row>
    <row r="402" spans="21:21" x14ac:dyDescent="0.45">
      <c r="U402" s="1"/>
    </row>
    <row r="403" spans="21:21" x14ac:dyDescent="0.45">
      <c r="U403" s="1"/>
    </row>
    <row r="404" spans="21:21" x14ac:dyDescent="0.45">
      <c r="U404" s="1"/>
    </row>
    <row r="405" spans="21:21" x14ac:dyDescent="0.45">
      <c r="U405" s="1"/>
    </row>
    <row r="406" spans="21:21" x14ac:dyDescent="0.45">
      <c r="U406" s="1"/>
    </row>
    <row r="407" spans="21:21" x14ac:dyDescent="0.45">
      <c r="U407" s="1"/>
    </row>
    <row r="408" spans="21:21" x14ac:dyDescent="0.45">
      <c r="U408" s="1"/>
    </row>
    <row r="409" spans="21:21" x14ac:dyDescent="0.45">
      <c r="U409" s="1"/>
    </row>
    <row r="410" spans="21:21" x14ac:dyDescent="0.45">
      <c r="U410" s="1"/>
    </row>
    <row r="411" spans="21:21" x14ac:dyDescent="0.45">
      <c r="U411" s="1"/>
    </row>
    <row r="412" spans="21:21" x14ac:dyDescent="0.45">
      <c r="U412" s="1"/>
    </row>
    <row r="413" spans="21:21" x14ac:dyDescent="0.45">
      <c r="U413" s="1"/>
    </row>
    <row r="414" spans="21:21" x14ac:dyDescent="0.45">
      <c r="U414" s="1"/>
    </row>
    <row r="415" spans="21:21" x14ac:dyDescent="0.45">
      <c r="U415" s="1"/>
    </row>
    <row r="416" spans="21:21" x14ac:dyDescent="0.45">
      <c r="U416" s="1"/>
    </row>
    <row r="417" spans="21:21" x14ac:dyDescent="0.45">
      <c r="U417" s="1"/>
    </row>
    <row r="418" spans="21:21" x14ac:dyDescent="0.45">
      <c r="U418" s="1"/>
    </row>
    <row r="419" spans="21:21" x14ac:dyDescent="0.45">
      <c r="U419" s="1"/>
    </row>
    <row r="420" spans="21:21" x14ac:dyDescent="0.45">
      <c r="U420" s="1"/>
    </row>
    <row r="421" spans="21:21" x14ac:dyDescent="0.45">
      <c r="U421" s="1"/>
    </row>
    <row r="422" spans="21:21" x14ac:dyDescent="0.45">
      <c r="U422" s="1"/>
    </row>
    <row r="423" spans="21:21" x14ac:dyDescent="0.45">
      <c r="U423" s="1"/>
    </row>
    <row r="424" spans="21:21" x14ac:dyDescent="0.45">
      <c r="U424" s="1"/>
    </row>
    <row r="425" spans="21:21" x14ac:dyDescent="0.45">
      <c r="U425" s="1"/>
    </row>
    <row r="426" spans="21:21" x14ac:dyDescent="0.45">
      <c r="U426" s="1"/>
    </row>
    <row r="427" spans="21:21" x14ac:dyDescent="0.45">
      <c r="U427" s="1"/>
    </row>
    <row r="428" spans="21:21" x14ac:dyDescent="0.45">
      <c r="U428" s="1"/>
    </row>
    <row r="429" spans="21:21" x14ac:dyDescent="0.45">
      <c r="U429" s="1"/>
    </row>
    <row r="430" spans="21:21" x14ac:dyDescent="0.45">
      <c r="U430" s="1"/>
    </row>
    <row r="431" spans="21:21" x14ac:dyDescent="0.45">
      <c r="U431" s="1"/>
    </row>
    <row r="432" spans="21:21" x14ac:dyDescent="0.45">
      <c r="U432" s="1"/>
    </row>
    <row r="433" spans="21:21" x14ac:dyDescent="0.45">
      <c r="U433" s="1"/>
    </row>
    <row r="434" spans="21:21" x14ac:dyDescent="0.45">
      <c r="U434" s="1"/>
    </row>
    <row r="435" spans="21:21" x14ac:dyDescent="0.45">
      <c r="U435" s="1"/>
    </row>
    <row r="436" spans="21:21" x14ac:dyDescent="0.45">
      <c r="U436" s="1"/>
    </row>
    <row r="437" spans="21:21" x14ac:dyDescent="0.45">
      <c r="U437" s="1"/>
    </row>
    <row r="438" spans="21:21" x14ac:dyDescent="0.45">
      <c r="U438" s="1"/>
    </row>
    <row r="439" spans="21:21" x14ac:dyDescent="0.45">
      <c r="U439" s="1"/>
    </row>
    <row r="440" spans="21:21" x14ac:dyDescent="0.45">
      <c r="U440" s="1"/>
    </row>
    <row r="441" spans="21:21" x14ac:dyDescent="0.45">
      <c r="U441" s="1"/>
    </row>
    <row r="442" spans="21:21" x14ac:dyDescent="0.45">
      <c r="U442" s="1"/>
    </row>
    <row r="443" spans="21:21" x14ac:dyDescent="0.45">
      <c r="U443" s="1"/>
    </row>
    <row r="444" spans="21:21" x14ac:dyDescent="0.45">
      <c r="U444" s="1"/>
    </row>
    <row r="445" spans="21:21" x14ac:dyDescent="0.45">
      <c r="U445" s="1"/>
    </row>
    <row r="446" spans="21:21" x14ac:dyDescent="0.45">
      <c r="U446" s="1"/>
    </row>
    <row r="447" spans="21:21" x14ac:dyDescent="0.45">
      <c r="U447" s="1"/>
    </row>
    <row r="448" spans="21:21" x14ac:dyDescent="0.45">
      <c r="U448" s="1"/>
    </row>
    <row r="449" spans="21:21" x14ac:dyDescent="0.45">
      <c r="U449" s="1"/>
    </row>
    <row r="450" spans="21:21" x14ac:dyDescent="0.45">
      <c r="U450" s="1"/>
    </row>
    <row r="451" spans="21:21" x14ac:dyDescent="0.45">
      <c r="U451" s="1"/>
    </row>
    <row r="452" spans="21:21" x14ac:dyDescent="0.45">
      <c r="U452" s="1"/>
    </row>
    <row r="453" spans="21:21" x14ac:dyDescent="0.45">
      <c r="U453" s="1"/>
    </row>
    <row r="454" spans="21:21" x14ac:dyDescent="0.45">
      <c r="U454" s="1"/>
    </row>
    <row r="455" spans="21:21" x14ac:dyDescent="0.45">
      <c r="U455" s="1"/>
    </row>
    <row r="456" spans="21:21" x14ac:dyDescent="0.45">
      <c r="U456" s="1"/>
    </row>
    <row r="457" spans="21:21" x14ac:dyDescent="0.45">
      <c r="U457" s="1"/>
    </row>
    <row r="458" spans="21:21" x14ac:dyDescent="0.45">
      <c r="U458" s="1"/>
    </row>
    <row r="459" spans="21:21" x14ac:dyDescent="0.45">
      <c r="U459" s="1"/>
    </row>
    <row r="460" spans="21:21" x14ac:dyDescent="0.45">
      <c r="U460" s="1"/>
    </row>
    <row r="461" spans="21:21" x14ac:dyDescent="0.45">
      <c r="U461" s="1"/>
    </row>
    <row r="462" spans="21:21" x14ac:dyDescent="0.45">
      <c r="U462" s="1"/>
    </row>
    <row r="463" spans="21:21" x14ac:dyDescent="0.45">
      <c r="U463" s="1"/>
    </row>
    <row r="464" spans="21:21" x14ac:dyDescent="0.45">
      <c r="U464" s="1"/>
    </row>
    <row r="465" spans="21:21" x14ac:dyDescent="0.45">
      <c r="U465" s="1"/>
    </row>
    <row r="466" spans="21:21" x14ac:dyDescent="0.45">
      <c r="U466" s="1"/>
    </row>
    <row r="467" spans="21:21" x14ac:dyDescent="0.45">
      <c r="U467" s="1"/>
    </row>
    <row r="468" spans="21:21" x14ac:dyDescent="0.45">
      <c r="U468" s="1"/>
    </row>
    <row r="469" spans="21:21" x14ac:dyDescent="0.45">
      <c r="U469" s="1"/>
    </row>
    <row r="470" spans="21:21" x14ac:dyDescent="0.45">
      <c r="U470" s="1"/>
    </row>
    <row r="471" spans="21:21" x14ac:dyDescent="0.45">
      <c r="U471" s="1"/>
    </row>
    <row r="472" spans="21:21" x14ac:dyDescent="0.45">
      <c r="U472" s="1"/>
    </row>
    <row r="473" spans="21:21" x14ac:dyDescent="0.45">
      <c r="U473" s="1"/>
    </row>
    <row r="474" spans="21:21" x14ac:dyDescent="0.45">
      <c r="U474" s="1"/>
    </row>
    <row r="475" spans="21:21" x14ac:dyDescent="0.45">
      <c r="U475" s="1"/>
    </row>
    <row r="476" spans="21:21" x14ac:dyDescent="0.45">
      <c r="U476" s="1"/>
    </row>
    <row r="477" spans="21:21" x14ac:dyDescent="0.45">
      <c r="U477" s="1"/>
    </row>
    <row r="478" spans="21:21" x14ac:dyDescent="0.45">
      <c r="U478" s="1"/>
    </row>
    <row r="479" spans="21:21" x14ac:dyDescent="0.45">
      <c r="U479" s="1"/>
    </row>
    <row r="480" spans="21:21" x14ac:dyDescent="0.45">
      <c r="U480" s="1"/>
    </row>
    <row r="481" spans="21:21" x14ac:dyDescent="0.45">
      <c r="U481" s="1"/>
    </row>
    <row r="482" spans="21:21" x14ac:dyDescent="0.45">
      <c r="U482" s="1"/>
    </row>
    <row r="483" spans="21:21" x14ac:dyDescent="0.45">
      <c r="U483" s="1"/>
    </row>
    <row r="484" spans="21:21" x14ac:dyDescent="0.45">
      <c r="U484" s="1"/>
    </row>
    <row r="485" spans="21:21" x14ac:dyDescent="0.45">
      <c r="U485" s="1"/>
    </row>
    <row r="486" spans="21:21" x14ac:dyDescent="0.45">
      <c r="U486" s="1"/>
    </row>
    <row r="487" spans="21:21" x14ac:dyDescent="0.45">
      <c r="U487" s="1"/>
    </row>
    <row r="488" spans="21:21" x14ac:dyDescent="0.45">
      <c r="U488" s="1"/>
    </row>
    <row r="489" spans="21:21" x14ac:dyDescent="0.45">
      <c r="U489" s="1"/>
    </row>
    <row r="490" spans="21:21" x14ac:dyDescent="0.45">
      <c r="U490" s="1"/>
    </row>
    <row r="491" spans="21:21" x14ac:dyDescent="0.45">
      <c r="U491" s="1"/>
    </row>
    <row r="492" spans="21:21" x14ac:dyDescent="0.45">
      <c r="U492" s="1"/>
    </row>
    <row r="493" spans="21:21" x14ac:dyDescent="0.45">
      <c r="U493" s="1"/>
    </row>
    <row r="494" spans="21:21" x14ac:dyDescent="0.45">
      <c r="U494" s="1"/>
    </row>
    <row r="495" spans="21:21" x14ac:dyDescent="0.45">
      <c r="U495" s="1"/>
    </row>
    <row r="496" spans="21:21" x14ac:dyDescent="0.45">
      <c r="U496" s="1"/>
    </row>
    <row r="497" spans="21:21" x14ac:dyDescent="0.45">
      <c r="U497" s="1"/>
    </row>
    <row r="498" spans="21:21" x14ac:dyDescent="0.45">
      <c r="U498" s="1"/>
    </row>
    <row r="499" spans="21:21" x14ac:dyDescent="0.45">
      <c r="U499" s="1"/>
    </row>
    <row r="500" spans="21:21" x14ac:dyDescent="0.45">
      <c r="U500" s="1"/>
    </row>
    <row r="501" spans="21:21" x14ac:dyDescent="0.45">
      <c r="U501" s="1"/>
    </row>
    <row r="502" spans="21:21" x14ac:dyDescent="0.45">
      <c r="U502" s="1"/>
    </row>
    <row r="503" spans="21:21" x14ac:dyDescent="0.45">
      <c r="U503" s="1"/>
    </row>
    <row r="504" spans="21:21" x14ac:dyDescent="0.45">
      <c r="U504" s="1"/>
    </row>
    <row r="505" spans="21:21" x14ac:dyDescent="0.45">
      <c r="U505" s="1"/>
    </row>
    <row r="506" spans="21:21" x14ac:dyDescent="0.45">
      <c r="U506" s="1"/>
    </row>
    <row r="507" spans="21:21" x14ac:dyDescent="0.45">
      <c r="U507" s="1"/>
    </row>
    <row r="508" spans="21:21" x14ac:dyDescent="0.45">
      <c r="U508" s="1"/>
    </row>
    <row r="509" spans="21:21" x14ac:dyDescent="0.45">
      <c r="U509" s="1"/>
    </row>
    <row r="510" spans="21:21" x14ac:dyDescent="0.45">
      <c r="U510" s="1"/>
    </row>
    <row r="511" spans="21:21" x14ac:dyDescent="0.45">
      <c r="U511" s="1"/>
    </row>
    <row r="512" spans="21:21" x14ac:dyDescent="0.45">
      <c r="U512" s="1"/>
    </row>
    <row r="513" spans="21:21" x14ac:dyDescent="0.45">
      <c r="U513" s="1"/>
    </row>
    <row r="514" spans="21:21" x14ac:dyDescent="0.45">
      <c r="U514" s="1"/>
    </row>
    <row r="515" spans="21:21" x14ac:dyDescent="0.45">
      <c r="U515" s="1"/>
    </row>
    <row r="516" spans="21:21" x14ac:dyDescent="0.45">
      <c r="U516" s="1"/>
    </row>
    <row r="517" spans="21:21" x14ac:dyDescent="0.45">
      <c r="U517" s="1"/>
    </row>
    <row r="518" spans="21:21" x14ac:dyDescent="0.45">
      <c r="U518" s="1"/>
    </row>
    <row r="519" spans="21:21" x14ac:dyDescent="0.45">
      <c r="U519" s="1"/>
    </row>
    <row r="520" spans="21:21" x14ac:dyDescent="0.45">
      <c r="U520" s="1"/>
    </row>
    <row r="521" spans="21:21" x14ac:dyDescent="0.45">
      <c r="U521" s="1"/>
    </row>
    <row r="522" spans="21:21" x14ac:dyDescent="0.45">
      <c r="U522" s="1"/>
    </row>
    <row r="523" spans="21:21" x14ac:dyDescent="0.45">
      <c r="U523" s="1"/>
    </row>
    <row r="524" spans="21:21" x14ac:dyDescent="0.45">
      <c r="U524" s="1"/>
    </row>
    <row r="525" spans="21:21" x14ac:dyDescent="0.45">
      <c r="U525" s="1"/>
    </row>
    <row r="526" spans="21:21" x14ac:dyDescent="0.45">
      <c r="U526" s="1"/>
    </row>
    <row r="527" spans="21:21" x14ac:dyDescent="0.45">
      <c r="U527" s="1"/>
    </row>
    <row r="528" spans="21:21" x14ac:dyDescent="0.45">
      <c r="U528" s="1"/>
    </row>
    <row r="529" spans="21:21" x14ac:dyDescent="0.45">
      <c r="U529" s="1"/>
    </row>
    <row r="530" spans="21:21" x14ac:dyDescent="0.45">
      <c r="U530" s="1"/>
    </row>
    <row r="531" spans="21:21" x14ac:dyDescent="0.45">
      <c r="U531" s="1"/>
    </row>
    <row r="532" spans="21:21" x14ac:dyDescent="0.45">
      <c r="U532" s="1"/>
    </row>
    <row r="533" spans="21:21" x14ac:dyDescent="0.45">
      <c r="U533" s="1"/>
    </row>
    <row r="534" spans="21:21" x14ac:dyDescent="0.45">
      <c r="U534" s="1"/>
    </row>
    <row r="535" spans="21:21" x14ac:dyDescent="0.45">
      <c r="U535" s="1"/>
    </row>
    <row r="536" spans="21:21" x14ac:dyDescent="0.45">
      <c r="U536" s="1"/>
    </row>
    <row r="537" spans="21:21" x14ac:dyDescent="0.45">
      <c r="U537" s="1"/>
    </row>
    <row r="538" spans="21:21" x14ac:dyDescent="0.45">
      <c r="U538" s="1"/>
    </row>
    <row r="539" spans="21:21" x14ac:dyDescent="0.45">
      <c r="U539" s="1"/>
    </row>
    <row r="540" spans="21:21" x14ac:dyDescent="0.45">
      <c r="U540" s="1"/>
    </row>
    <row r="541" spans="21:21" x14ac:dyDescent="0.45">
      <c r="U541" s="1"/>
    </row>
    <row r="542" spans="21:21" x14ac:dyDescent="0.45">
      <c r="U542" s="1"/>
    </row>
    <row r="543" spans="21:21" x14ac:dyDescent="0.45">
      <c r="U543" s="1"/>
    </row>
    <row r="544" spans="21:21" x14ac:dyDescent="0.45">
      <c r="U544" s="1"/>
    </row>
    <row r="545" spans="21:21" x14ac:dyDescent="0.45">
      <c r="U545" s="1"/>
    </row>
    <row r="546" spans="21:21" x14ac:dyDescent="0.45">
      <c r="U546" s="1"/>
    </row>
    <row r="547" spans="21:21" x14ac:dyDescent="0.45">
      <c r="U547" s="1"/>
    </row>
    <row r="548" spans="21:21" x14ac:dyDescent="0.45">
      <c r="U548" s="1"/>
    </row>
    <row r="549" spans="21:21" x14ac:dyDescent="0.45">
      <c r="U549" s="1"/>
    </row>
    <row r="550" spans="21:21" x14ac:dyDescent="0.45">
      <c r="U550" s="1"/>
    </row>
    <row r="551" spans="21:21" x14ac:dyDescent="0.45">
      <c r="U551" s="1"/>
    </row>
    <row r="552" spans="21:21" x14ac:dyDescent="0.45">
      <c r="U552" s="1"/>
    </row>
    <row r="553" spans="21:21" x14ac:dyDescent="0.45">
      <c r="U553" s="1"/>
    </row>
    <row r="554" spans="21:21" x14ac:dyDescent="0.45">
      <c r="U554" s="1"/>
    </row>
    <row r="555" spans="21:21" x14ac:dyDescent="0.45">
      <c r="U555" s="1"/>
    </row>
    <row r="556" spans="21:21" x14ac:dyDescent="0.45">
      <c r="U556" s="1"/>
    </row>
    <row r="557" spans="21:21" x14ac:dyDescent="0.45">
      <c r="U557" s="1"/>
    </row>
    <row r="558" spans="21:21" x14ac:dyDescent="0.45">
      <c r="U558" s="1"/>
    </row>
    <row r="559" spans="21:21" x14ac:dyDescent="0.45">
      <c r="U559" s="1"/>
    </row>
    <row r="560" spans="21:21" x14ac:dyDescent="0.45">
      <c r="U560" s="1"/>
    </row>
    <row r="561" spans="21:21" x14ac:dyDescent="0.45">
      <c r="U561" s="1"/>
    </row>
    <row r="562" spans="21:21" x14ac:dyDescent="0.45">
      <c r="U562" s="1"/>
    </row>
    <row r="563" spans="21:21" x14ac:dyDescent="0.45">
      <c r="U563" s="1"/>
    </row>
    <row r="564" spans="21:21" x14ac:dyDescent="0.45">
      <c r="U564" s="1"/>
    </row>
    <row r="565" spans="21:21" x14ac:dyDescent="0.45">
      <c r="U565" s="1"/>
    </row>
    <row r="566" spans="21:21" x14ac:dyDescent="0.45">
      <c r="U566" s="1"/>
    </row>
    <row r="567" spans="21:21" x14ac:dyDescent="0.45">
      <c r="U567" s="1"/>
    </row>
    <row r="568" spans="21:21" x14ac:dyDescent="0.45">
      <c r="U568" s="1"/>
    </row>
    <row r="569" spans="21:21" x14ac:dyDescent="0.45">
      <c r="U569" s="1"/>
    </row>
    <row r="570" spans="21:21" x14ac:dyDescent="0.45">
      <c r="U570" s="1"/>
    </row>
    <row r="571" spans="21:21" x14ac:dyDescent="0.45">
      <c r="U571" s="1"/>
    </row>
    <row r="572" spans="21:21" x14ac:dyDescent="0.45">
      <c r="U572" s="1"/>
    </row>
    <row r="573" spans="21:21" x14ac:dyDescent="0.45">
      <c r="U573" s="1"/>
    </row>
    <row r="574" spans="21:21" x14ac:dyDescent="0.45">
      <c r="U574" s="1"/>
    </row>
    <row r="575" spans="21:21" x14ac:dyDescent="0.45">
      <c r="U575" s="1"/>
    </row>
    <row r="576" spans="21:21" x14ac:dyDescent="0.45">
      <c r="U576" s="1"/>
    </row>
    <row r="577" spans="21:21" x14ac:dyDescent="0.45">
      <c r="U577" s="1"/>
    </row>
    <row r="578" spans="21:21" x14ac:dyDescent="0.45">
      <c r="U578" s="1"/>
    </row>
    <row r="579" spans="21:21" x14ac:dyDescent="0.45">
      <c r="U579" s="1"/>
    </row>
    <row r="580" spans="21:21" x14ac:dyDescent="0.45">
      <c r="U580" s="1"/>
    </row>
    <row r="581" spans="21:21" x14ac:dyDescent="0.45">
      <c r="U581" s="1"/>
    </row>
    <row r="582" spans="21:21" x14ac:dyDescent="0.45">
      <c r="U582" s="1"/>
    </row>
    <row r="583" spans="21:21" x14ac:dyDescent="0.45">
      <c r="U583" s="1"/>
    </row>
    <row r="584" spans="21:21" x14ac:dyDescent="0.45">
      <c r="U584" s="1"/>
    </row>
    <row r="585" spans="21:21" x14ac:dyDescent="0.45">
      <c r="U585" s="1"/>
    </row>
    <row r="586" spans="21:21" x14ac:dyDescent="0.45">
      <c r="U586" s="1"/>
    </row>
    <row r="587" spans="21:21" x14ac:dyDescent="0.45">
      <c r="U587" s="1"/>
    </row>
    <row r="588" spans="21:21" x14ac:dyDescent="0.45">
      <c r="U588" s="1"/>
    </row>
    <row r="589" spans="21:21" x14ac:dyDescent="0.45">
      <c r="U589" s="1"/>
    </row>
    <row r="590" spans="21:21" x14ac:dyDescent="0.45">
      <c r="U590" s="1"/>
    </row>
    <row r="591" spans="21:21" x14ac:dyDescent="0.45">
      <c r="U591" s="1"/>
    </row>
    <row r="592" spans="21:21" x14ac:dyDescent="0.45">
      <c r="U592" s="1"/>
    </row>
    <row r="593" spans="21:21" x14ac:dyDescent="0.45">
      <c r="U593" s="1"/>
    </row>
    <row r="594" spans="21:21" x14ac:dyDescent="0.45">
      <c r="U594" s="1"/>
    </row>
    <row r="595" spans="21:21" x14ac:dyDescent="0.45">
      <c r="U595" s="1"/>
    </row>
    <row r="596" spans="21:21" x14ac:dyDescent="0.45">
      <c r="U596" s="1"/>
    </row>
    <row r="597" spans="21:21" x14ac:dyDescent="0.45">
      <c r="U597" s="1"/>
    </row>
    <row r="598" spans="21:21" x14ac:dyDescent="0.45">
      <c r="U598" s="1"/>
    </row>
    <row r="599" spans="21:21" x14ac:dyDescent="0.45">
      <c r="U599" s="1"/>
    </row>
    <row r="600" spans="21:21" x14ac:dyDescent="0.45">
      <c r="U600" s="1"/>
    </row>
    <row r="601" spans="21:21" x14ac:dyDescent="0.45">
      <c r="U601" s="1"/>
    </row>
    <row r="602" spans="21:21" x14ac:dyDescent="0.45">
      <c r="U602" s="1"/>
    </row>
    <row r="603" spans="21:21" x14ac:dyDescent="0.45">
      <c r="U603" s="1"/>
    </row>
    <row r="604" spans="21:21" x14ac:dyDescent="0.45">
      <c r="U604" s="1"/>
    </row>
    <row r="605" spans="21:21" x14ac:dyDescent="0.45">
      <c r="U605" s="1"/>
    </row>
    <row r="606" spans="21:21" x14ac:dyDescent="0.45">
      <c r="U606" s="1"/>
    </row>
    <row r="607" spans="21:21" x14ac:dyDescent="0.45">
      <c r="U607" s="1"/>
    </row>
    <row r="608" spans="21:21" x14ac:dyDescent="0.45">
      <c r="U608" s="1"/>
    </row>
    <row r="609" spans="21:21" x14ac:dyDescent="0.45">
      <c r="U609" s="1"/>
    </row>
    <row r="610" spans="21:21" x14ac:dyDescent="0.45">
      <c r="U610" s="1"/>
    </row>
    <row r="611" spans="21:21" x14ac:dyDescent="0.45">
      <c r="U611" s="1"/>
    </row>
    <row r="612" spans="21:21" x14ac:dyDescent="0.45">
      <c r="U612" s="1"/>
    </row>
    <row r="613" spans="21:21" x14ac:dyDescent="0.45">
      <c r="U613" s="1"/>
    </row>
    <row r="614" spans="21:21" x14ac:dyDescent="0.45">
      <c r="U614" s="1"/>
    </row>
    <row r="615" spans="21:21" x14ac:dyDescent="0.45">
      <c r="U615" s="1"/>
    </row>
    <row r="616" spans="21:21" x14ac:dyDescent="0.45">
      <c r="U616" s="1"/>
    </row>
    <row r="617" spans="21:21" x14ac:dyDescent="0.45">
      <c r="U617" s="1"/>
    </row>
    <row r="618" spans="21:21" x14ac:dyDescent="0.45">
      <c r="U618" s="1"/>
    </row>
    <row r="619" spans="21:21" x14ac:dyDescent="0.45">
      <c r="U619" s="1"/>
    </row>
    <row r="620" spans="21:21" x14ac:dyDescent="0.45">
      <c r="U620" s="1"/>
    </row>
    <row r="621" spans="21:21" x14ac:dyDescent="0.45">
      <c r="U621" s="1"/>
    </row>
    <row r="622" spans="21:21" x14ac:dyDescent="0.45">
      <c r="U622" s="1"/>
    </row>
    <row r="623" spans="21:21" x14ac:dyDescent="0.45">
      <c r="U623" s="1"/>
    </row>
    <row r="624" spans="21:21" x14ac:dyDescent="0.45">
      <c r="U624" s="1"/>
    </row>
    <row r="625" spans="21:21" x14ac:dyDescent="0.45">
      <c r="U625" s="1"/>
    </row>
    <row r="626" spans="21:21" x14ac:dyDescent="0.45">
      <c r="U626" s="1"/>
    </row>
    <row r="627" spans="21:21" x14ac:dyDescent="0.45">
      <c r="U627" s="1"/>
    </row>
    <row r="628" spans="21:21" x14ac:dyDescent="0.45">
      <c r="U628" s="1"/>
    </row>
    <row r="629" spans="21:21" x14ac:dyDescent="0.45">
      <c r="U629" s="1"/>
    </row>
    <row r="630" spans="21:21" x14ac:dyDescent="0.45">
      <c r="U630" s="1"/>
    </row>
    <row r="631" spans="21:21" x14ac:dyDescent="0.45">
      <c r="U631" s="1"/>
    </row>
    <row r="632" spans="21:21" x14ac:dyDescent="0.45">
      <c r="U632" s="1"/>
    </row>
    <row r="633" spans="21:21" x14ac:dyDescent="0.45">
      <c r="U633" s="1"/>
    </row>
    <row r="634" spans="21:21" x14ac:dyDescent="0.45">
      <c r="U634" s="1"/>
    </row>
    <row r="635" spans="21:21" x14ac:dyDescent="0.45">
      <c r="U635" s="1"/>
    </row>
    <row r="636" spans="21:21" x14ac:dyDescent="0.45">
      <c r="U636" s="1"/>
    </row>
    <row r="637" spans="21:21" x14ac:dyDescent="0.45">
      <c r="U637" s="1"/>
    </row>
    <row r="638" spans="21:21" x14ac:dyDescent="0.45">
      <c r="U638" s="1"/>
    </row>
    <row r="639" spans="21:21" x14ac:dyDescent="0.45">
      <c r="U639" s="1"/>
    </row>
    <row r="640" spans="21:21" x14ac:dyDescent="0.45">
      <c r="U640" s="1"/>
    </row>
    <row r="641" spans="21:21" x14ac:dyDescent="0.45">
      <c r="U641" s="1"/>
    </row>
    <row r="642" spans="21:21" x14ac:dyDescent="0.45">
      <c r="U642" s="1"/>
    </row>
    <row r="643" spans="21:21" x14ac:dyDescent="0.45">
      <c r="U643" s="1"/>
    </row>
    <row r="644" spans="21:21" x14ac:dyDescent="0.45">
      <c r="U644" s="1"/>
    </row>
    <row r="645" spans="21:21" x14ac:dyDescent="0.45">
      <c r="U645" s="1"/>
    </row>
    <row r="646" spans="21:21" x14ac:dyDescent="0.45">
      <c r="U646" s="1"/>
    </row>
    <row r="647" spans="21:21" x14ac:dyDescent="0.45">
      <c r="U647" s="1"/>
    </row>
    <row r="648" spans="21:21" x14ac:dyDescent="0.45">
      <c r="U648" s="1"/>
    </row>
    <row r="649" spans="21:21" x14ac:dyDescent="0.45">
      <c r="U649" s="1"/>
    </row>
    <row r="650" spans="21:21" x14ac:dyDescent="0.45">
      <c r="U650" s="1"/>
    </row>
    <row r="651" spans="21:21" x14ac:dyDescent="0.45">
      <c r="U651" s="1"/>
    </row>
    <row r="652" spans="21:21" x14ac:dyDescent="0.45">
      <c r="U652" s="1"/>
    </row>
    <row r="653" spans="21:21" x14ac:dyDescent="0.45">
      <c r="U653" s="1"/>
    </row>
    <row r="654" spans="21:21" x14ac:dyDescent="0.45">
      <c r="U654" s="1"/>
    </row>
    <row r="655" spans="21:21" x14ac:dyDescent="0.45">
      <c r="U655" s="1"/>
    </row>
    <row r="656" spans="21:21" x14ac:dyDescent="0.45">
      <c r="U656" s="1"/>
    </row>
    <row r="657" spans="21:21" x14ac:dyDescent="0.45">
      <c r="U657" s="1"/>
    </row>
    <row r="658" spans="21:21" x14ac:dyDescent="0.45">
      <c r="U658" s="1"/>
    </row>
    <row r="659" spans="21:21" x14ac:dyDescent="0.45">
      <c r="U659" s="1"/>
    </row>
    <row r="660" spans="21:21" x14ac:dyDescent="0.45">
      <c r="U660" s="1"/>
    </row>
    <row r="661" spans="21:21" x14ac:dyDescent="0.45">
      <c r="U661" s="1"/>
    </row>
    <row r="662" spans="21:21" x14ac:dyDescent="0.45">
      <c r="U662" s="1"/>
    </row>
    <row r="663" spans="21:21" x14ac:dyDescent="0.45">
      <c r="U663" s="1"/>
    </row>
    <row r="664" spans="21:21" x14ac:dyDescent="0.45">
      <c r="U664" s="1"/>
    </row>
    <row r="665" spans="21:21" x14ac:dyDescent="0.45">
      <c r="U665" s="1"/>
    </row>
    <row r="666" spans="21:21" x14ac:dyDescent="0.45">
      <c r="U666" s="1"/>
    </row>
    <row r="667" spans="21:21" x14ac:dyDescent="0.45">
      <c r="U667" s="1"/>
    </row>
    <row r="668" spans="21:21" x14ac:dyDescent="0.45">
      <c r="U668" s="1"/>
    </row>
    <row r="669" spans="21:21" x14ac:dyDescent="0.45">
      <c r="U669" s="1"/>
    </row>
    <row r="670" spans="21:21" x14ac:dyDescent="0.45">
      <c r="U670" s="1"/>
    </row>
    <row r="671" spans="21:21" x14ac:dyDescent="0.45">
      <c r="U671" s="1"/>
    </row>
    <row r="672" spans="21:21" x14ac:dyDescent="0.45">
      <c r="U672" s="1"/>
    </row>
    <row r="673" spans="21:21" x14ac:dyDescent="0.45">
      <c r="U673" s="1"/>
    </row>
    <row r="674" spans="21:21" x14ac:dyDescent="0.45">
      <c r="U674" s="1"/>
    </row>
    <row r="675" spans="21:21" x14ac:dyDescent="0.45">
      <c r="U675" s="1"/>
    </row>
    <row r="676" spans="21:21" x14ac:dyDescent="0.45">
      <c r="U676" s="1"/>
    </row>
    <row r="677" spans="21:21" x14ac:dyDescent="0.45">
      <c r="U677" s="1"/>
    </row>
    <row r="678" spans="21:21" x14ac:dyDescent="0.45">
      <c r="U678" s="1"/>
    </row>
    <row r="679" spans="21:21" x14ac:dyDescent="0.45">
      <c r="U679" s="1"/>
    </row>
    <row r="680" spans="21:21" x14ac:dyDescent="0.45">
      <c r="U680" s="1"/>
    </row>
    <row r="681" spans="21:21" x14ac:dyDescent="0.45">
      <c r="U681" s="1"/>
    </row>
    <row r="682" spans="21:21" x14ac:dyDescent="0.45">
      <c r="U682" s="1"/>
    </row>
    <row r="683" spans="21:21" x14ac:dyDescent="0.45">
      <c r="U683" s="1"/>
    </row>
    <row r="684" spans="21:21" x14ac:dyDescent="0.45">
      <c r="U684" s="1"/>
    </row>
    <row r="685" spans="21:21" x14ac:dyDescent="0.45">
      <c r="U685" s="1"/>
    </row>
    <row r="686" spans="21:21" x14ac:dyDescent="0.45">
      <c r="U686" s="1"/>
    </row>
    <row r="687" spans="21:21" x14ac:dyDescent="0.45">
      <c r="U687" s="1"/>
    </row>
    <row r="688" spans="21:21" x14ac:dyDescent="0.45">
      <c r="U688" s="1"/>
    </row>
    <row r="689" spans="21:21" x14ac:dyDescent="0.45">
      <c r="U689" s="1"/>
    </row>
    <row r="690" spans="21:21" x14ac:dyDescent="0.45">
      <c r="U690" s="1"/>
    </row>
    <row r="691" spans="21:21" x14ac:dyDescent="0.45">
      <c r="U691" s="1"/>
    </row>
    <row r="692" spans="21:21" x14ac:dyDescent="0.45">
      <c r="U692" s="1"/>
    </row>
    <row r="693" spans="21:21" x14ac:dyDescent="0.45">
      <c r="U693" s="1"/>
    </row>
    <row r="694" spans="21:21" x14ac:dyDescent="0.45">
      <c r="U694" s="1"/>
    </row>
    <row r="695" spans="21:21" x14ac:dyDescent="0.45">
      <c r="U695" s="1"/>
    </row>
    <row r="696" spans="21:21" x14ac:dyDescent="0.45">
      <c r="U696" s="1"/>
    </row>
    <row r="697" spans="21:21" x14ac:dyDescent="0.45">
      <c r="U697" s="1"/>
    </row>
    <row r="698" spans="21:21" x14ac:dyDescent="0.45">
      <c r="U698" s="1"/>
    </row>
    <row r="699" spans="21:21" x14ac:dyDescent="0.45">
      <c r="U699" s="1"/>
    </row>
    <row r="700" spans="21:21" x14ac:dyDescent="0.45">
      <c r="U700" s="1"/>
    </row>
    <row r="701" spans="21:21" x14ac:dyDescent="0.45">
      <c r="U701" s="1"/>
    </row>
    <row r="702" spans="21:21" x14ac:dyDescent="0.45">
      <c r="U702" s="1"/>
    </row>
    <row r="703" spans="21:21" x14ac:dyDescent="0.45">
      <c r="U703" s="1"/>
    </row>
    <row r="704" spans="21:21" x14ac:dyDescent="0.45">
      <c r="U704" s="1"/>
    </row>
    <row r="705" spans="21:21" x14ac:dyDescent="0.45">
      <c r="U705" s="1"/>
    </row>
    <row r="706" spans="21:21" x14ac:dyDescent="0.45">
      <c r="U706" s="1"/>
    </row>
    <row r="707" spans="21:21" x14ac:dyDescent="0.45">
      <c r="U707" s="1"/>
    </row>
    <row r="708" spans="21:21" x14ac:dyDescent="0.45">
      <c r="U708" s="1"/>
    </row>
    <row r="709" spans="21:21" x14ac:dyDescent="0.45">
      <c r="U709" s="1"/>
    </row>
    <row r="710" spans="21:21" x14ac:dyDescent="0.45">
      <c r="U710" s="1"/>
    </row>
    <row r="711" spans="21:21" x14ac:dyDescent="0.45">
      <c r="U711" s="1"/>
    </row>
    <row r="712" spans="21:21" x14ac:dyDescent="0.45">
      <c r="U712" s="1"/>
    </row>
    <row r="713" spans="21:21" x14ac:dyDescent="0.45">
      <c r="U713" s="1"/>
    </row>
    <row r="714" spans="21:21" x14ac:dyDescent="0.45">
      <c r="U714" s="1"/>
    </row>
    <row r="715" spans="21:21" x14ac:dyDescent="0.45">
      <c r="U715" s="1"/>
    </row>
    <row r="716" spans="21:21" x14ac:dyDescent="0.45">
      <c r="U716" s="1"/>
    </row>
    <row r="717" spans="21:21" x14ac:dyDescent="0.45">
      <c r="U717" s="1"/>
    </row>
    <row r="718" spans="21:21" x14ac:dyDescent="0.45">
      <c r="U718" s="1"/>
    </row>
    <row r="719" spans="21:21" x14ac:dyDescent="0.45">
      <c r="U719" s="1"/>
    </row>
    <row r="720" spans="21:21" x14ac:dyDescent="0.45">
      <c r="U720" s="1"/>
    </row>
    <row r="721" spans="21:21" x14ac:dyDescent="0.45">
      <c r="U721" s="1"/>
    </row>
    <row r="722" spans="21:21" x14ac:dyDescent="0.45">
      <c r="U722" s="1"/>
    </row>
    <row r="723" spans="21:21" x14ac:dyDescent="0.45">
      <c r="U723" s="1"/>
    </row>
    <row r="724" spans="21:21" x14ac:dyDescent="0.45">
      <c r="U724" s="1"/>
    </row>
    <row r="725" spans="21:21" x14ac:dyDescent="0.45">
      <c r="U725" s="1"/>
    </row>
    <row r="726" spans="21:21" x14ac:dyDescent="0.45">
      <c r="U726" s="1"/>
    </row>
    <row r="727" spans="21:21" x14ac:dyDescent="0.45">
      <c r="U727" s="1"/>
    </row>
    <row r="728" spans="21:21" x14ac:dyDescent="0.45">
      <c r="U728" s="1"/>
    </row>
    <row r="729" spans="21:21" x14ac:dyDescent="0.45">
      <c r="U729" s="1"/>
    </row>
    <row r="730" spans="21:21" x14ac:dyDescent="0.45">
      <c r="U730" s="1"/>
    </row>
    <row r="731" spans="21:21" x14ac:dyDescent="0.45">
      <c r="U731" s="1"/>
    </row>
    <row r="732" spans="21:21" x14ac:dyDescent="0.45">
      <c r="U732" s="1"/>
    </row>
    <row r="733" spans="21:21" x14ac:dyDescent="0.45">
      <c r="U733" s="1"/>
    </row>
    <row r="734" spans="21:21" x14ac:dyDescent="0.45">
      <c r="U734" s="1"/>
    </row>
    <row r="735" spans="21:21" x14ac:dyDescent="0.45">
      <c r="U735" s="1"/>
    </row>
    <row r="736" spans="21:21" x14ac:dyDescent="0.45">
      <c r="U736" s="1"/>
    </row>
    <row r="737" spans="21:21" x14ac:dyDescent="0.45">
      <c r="U737" s="1"/>
    </row>
    <row r="738" spans="21:21" x14ac:dyDescent="0.45">
      <c r="U738" s="1"/>
    </row>
    <row r="739" spans="21:21" x14ac:dyDescent="0.45">
      <c r="U739" s="1"/>
    </row>
    <row r="740" spans="21:21" x14ac:dyDescent="0.45">
      <c r="U740" s="1"/>
    </row>
    <row r="741" spans="21:21" x14ac:dyDescent="0.45">
      <c r="U741" s="1"/>
    </row>
    <row r="742" spans="21:21" x14ac:dyDescent="0.45">
      <c r="U742" s="1"/>
    </row>
    <row r="743" spans="21:21" x14ac:dyDescent="0.45">
      <c r="U743" s="1"/>
    </row>
    <row r="744" spans="21:21" x14ac:dyDescent="0.45">
      <c r="U744" s="1"/>
    </row>
    <row r="745" spans="21:21" x14ac:dyDescent="0.45">
      <c r="U745" s="1"/>
    </row>
    <row r="746" spans="21:21" x14ac:dyDescent="0.45">
      <c r="U746" s="1"/>
    </row>
    <row r="747" spans="21:21" x14ac:dyDescent="0.45">
      <c r="U747" s="1"/>
    </row>
    <row r="748" spans="21:21" x14ac:dyDescent="0.45">
      <c r="U748" s="1"/>
    </row>
    <row r="749" spans="21:21" x14ac:dyDescent="0.45">
      <c r="U749" s="1"/>
    </row>
    <row r="750" spans="21:21" x14ac:dyDescent="0.45">
      <c r="U750" s="1"/>
    </row>
    <row r="751" spans="21:21" x14ac:dyDescent="0.45">
      <c r="U751" s="1"/>
    </row>
    <row r="752" spans="21:21" x14ac:dyDescent="0.45">
      <c r="U752" s="1"/>
    </row>
    <row r="753" spans="21:21" x14ac:dyDescent="0.45">
      <c r="U753" s="1"/>
    </row>
    <row r="754" spans="21:21" x14ac:dyDescent="0.45">
      <c r="U754" s="1"/>
    </row>
    <row r="755" spans="21:21" x14ac:dyDescent="0.45">
      <c r="U755" s="1"/>
    </row>
    <row r="756" spans="21:21" x14ac:dyDescent="0.45">
      <c r="U756" s="1"/>
    </row>
    <row r="757" spans="21:21" x14ac:dyDescent="0.45">
      <c r="U757" s="1"/>
    </row>
    <row r="758" spans="21:21" x14ac:dyDescent="0.45">
      <c r="U758" s="1"/>
    </row>
    <row r="759" spans="21:21" x14ac:dyDescent="0.45">
      <c r="U759" s="1"/>
    </row>
    <row r="760" spans="21:21" x14ac:dyDescent="0.45">
      <c r="U760" s="1"/>
    </row>
    <row r="761" spans="21:21" x14ac:dyDescent="0.45">
      <c r="U761" s="1"/>
    </row>
    <row r="762" spans="21:21" x14ac:dyDescent="0.45">
      <c r="U762" s="1"/>
    </row>
    <row r="763" spans="21:21" x14ac:dyDescent="0.45">
      <c r="U763" s="1"/>
    </row>
    <row r="764" spans="21:21" x14ac:dyDescent="0.45">
      <c r="U764" s="1"/>
    </row>
    <row r="765" spans="21:21" x14ac:dyDescent="0.45">
      <c r="U765" s="1"/>
    </row>
    <row r="766" spans="21:21" x14ac:dyDescent="0.45">
      <c r="U766" s="1"/>
    </row>
    <row r="767" spans="21:21" x14ac:dyDescent="0.45">
      <c r="U767" s="1"/>
    </row>
    <row r="768" spans="21:21" x14ac:dyDescent="0.45">
      <c r="U768" s="1"/>
    </row>
    <row r="769" spans="21:21" x14ac:dyDescent="0.45">
      <c r="U769" s="1"/>
    </row>
    <row r="770" spans="21:21" x14ac:dyDescent="0.45">
      <c r="U770" s="1"/>
    </row>
    <row r="771" spans="21:21" x14ac:dyDescent="0.45">
      <c r="U771" s="1"/>
    </row>
    <row r="772" spans="21:21" x14ac:dyDescent="0.45">
      <c r="U772" s="1"/>
    </row>
    <row r="773" spans="21:21" x14ac:dyDescent="0.45">
      <c r="U773" s="1"/>
    </row>
    <row r="774" spans="21:21" x14ac:dyDescent="0.45">
      <c r="U774" s="1"/>
    </row>
    <row r="775" spans="21:21" x14ac:dyDescent="0.45">
      <c r="U775" s="1"/>
    </row>
    <row r="776" spans="21:21" x14ac:dyDescent="0.45">
      <c r="U776" s="1"/>
    </row>
    <row r="777" spans="21:21" x14ac:dyDescent="0.45">
      <c r="U777" s="1"/>
    </row>
    <row r="778" spans="21:21" x14ac:dyDescent="0.45">
      <c r="U778" s="1"/>
    </row>
    <row r="779" spans="21:21" x14ac:dyDescent="0.45">
      <c r="U779" s="1"/>
    </row>
    <row r="780" spans="21:21" x14ac:dyDescent="0.45">
      <c r="U780" s="1"/>
    </row>
    <row r="781" spans="21:21" x14ac:dyDescent="0.45">
      <c r="U781" s="1"/>
    </row>
    <row r="782" spans="21:21" x14ac:dyDescent="0.45">
      <c r="U782" s="1"/>
    </row>
    <row r="783" spans="21:21" x14ac:dyDescent="0.45">
      <c r="U783" s="1"/>
    </row>
    <row r="784" spans="21:21" x14ac:dyDescent="0.45">
      <c r="U784" s="1"/>
    </row>
    <row r="785" spans="21:21" x14ac:dyDescent="0.45">
      <c r="U785" s="1"/>
    </row>
    <row r="786" spans="21:21" x14ac:dyDescent="0.45">
      <c r="U786" s="1"/>
    </row>
    <row r="787" spans="21:21" x14ac:dyDescent="0.45">
      <c r="U787" s="1"/>
    </row>
    <row r="788" spans="21:21" x14ac:dyDescent="0.45">
      <c r="U788" s="1"/>
    </row>
    <row r="789" spans="21:21" x14ac:dyDescent="0.45">
      <c r="U789" s="1"/>
    </row>
    <row r="790" spans="21:21" x14ac:dyDescent="0.45">
      <c r="U790" s="1"/>
    </row>
    <row r="791" spans="21:21" x14ac:dyDescent="0.45">
      <c r="U791" s="1"/>
    </row>
    <row r="792" spans="21:21" x14ac:dyDescent="0.45">
      <c r="U792" s="1"/>
    </row>
    <row r="793" spans="21:21" x14ac:dyDescent="0.45">
      <c r="U793" s="1"/>
    </row>
    <row r="794" spans="21:21" x14ac:dyDescent="0.45">
      <c r="U794" s="1"/>
    </row>
    <row r="795" spans="21:21" x14ac:dyDescent="0.45">
      <c r="U795" s="1"/>
    </row>
    <row r="796" spans="21:21" x14ac:dyDescent="0.45">
      <c r="U796" s="1"/>
    </row>
    <row r="797" spans="21:21" x14ac:dyDescent="0.45">
      <c r="U797" s="1"/>
    </row>
    <row r="798" spans="21:21" x14ac:dyDescent="0.45">
      <c r="U798" s="1"/>
    </row>
    <row r="799" spans="21:21" x14ac:dyDescent="0.45">
      <c r="U799" s="1"/>
    </row>
    <row r="800" spans="21:21" x14ac:dyDescent="0.45">
      <c r="U800" s="1"/>
    </row>
    <row r="801" spans="21:21" x14ac:dyDescent="0.45">
      <c r="U801" s="1"/>
    </row>
    <row r="802" spans="21:21" x14ac:dyDescent="0.45">
      <c r="U802" s="1"/>
    </row>
    <row r="803" spans="21:21" x14ac:dyDescent="0.45">
      <c r="U803" s="1"/>
    </row>
    <row r="804" spans="21:21" x14ac:dyDescent="0.45">
      <c r="U804" s="1"/>
    </row>
    <row r="805" spans="21:21" x14ac:dyDescent="0.45">
      <c r="U805" s="1"/>
    </row>
    <row r="806" spans="21:21" x14ac:dyDescent="0.45">
      <c r="U806" s="1"/>
    </row>
    <row r="807" spans="21:21" x14ac:dyDescent="0.45">
      <c r="U807" s="1"/>
    </row>
    <row r="808" spans="21:21" x14ac:dyDescent="0.45">
      <c r="U808" s="1"/>
    </row>
    <row r="809" spans="21:21" x14ac:dyDescent="0.45">
      <c r="U809" s="1"/>
    </row>
    <row r="810" spans="21:21" x14ac:dyDescent="0.45">
      <c r="U810" s="1"/>
    </row>
    <row r="811" spans="21:21" x14ac:dyDescent="0.45">
      <c r="U811" s="1"/>
    </row>
    <row r="812" spans="21:21" x14ac:dyDescent="0.45">
      <c r="U812" s="1"/>
    </row>
    <row r="813" spans="21:21" x14ac:dyDescent="0.45">
      <c r="U813" s="1"/>
    </row>
    <row r="814" spans="21:21" x14ac:dyDescent="0.45">
      <c r="U814" s="1"/>
    </row>
    <row r="815" spans="21:21" x14ac:dyDescent="0.45">
      <c r="U815" s="1"/>
    </row>
    <row r="816" spans="21:21" x14ac:dyDescent="0.45">
      <c r="U816" s="1"/>
    </row>
    <row r="817" spans="21:21" x14ac:dyDescent="0.45">
      <c r="U817" s="1"/>
    </row>
    <row r="818" spans="21:21" x14ac:dyDescent="0.45">
      <c r="U818" s="1"/>
    </row>
    <row r="819" spans="21:21" x14ac:dyDescent="0.45">
      <c r="U819" s="1"/>
    </row>
    <row r="820" spans="21:21" x14ac:dyDescent="0.45">
      <c r="U820" s="1"/>
    </row>
    <row r="821" spans="21:21" x14ac:dyDescent="0.45">
      <c r="U821" s="1"/>
    </row>
    <row r="822" spans="21:21" x14ac:dyDescent="0.45">
      <c r="U822" s="1"/>
    </row>
    <row r="823" spans="21:21" x14ac:dyDescent="0.45">
      <c r="U823" s="1"/>
    </row>
    <row r="824" spans="21:21" x14ac:dyDescent="0.45">
      <c r="U824" s="1"/>
    </row>
    <row r="825" spans="21:21" x14ac:dyDescent="0.45">
      <c r="U825" s="1"/>
    </row>
    <row r="826" spans="21:21" x14ac:dyDescent="0.45">
      <c r="U826" s="1"/>
    </row>
    <row r="827" spans="21:21" x14ac:dyDescent="0.45">
      <c r="U827" s="1"/>
    </row>
    <row r="828" spans="21:21" x14ac:dyDescent="0.45">
      <c r="U828" s="1"/>
    </row>
    <row r="829" spans="21:21" x14ac:dyDescent="0.45">
      <c r="U829" s="1"/>
    </row>
    <row r="830" spans="21:21" x14ac:dyDescent="0.45">
      <c r="U830" s="1"/>
    </row>
    <row r="831" spans="21:21" x14ac:dyDescent="0.45">
      <c r="U831" s="1"/>
    </row>
    <row r="832" spans="21:21" x14ac:dyDescent="0.45">
      <c r="U832" s="1"/>
    </row>
    <row r="833" spans="21:21" x14ac:dyDescent="0.45">
      <c r="U833" s="1"/>
    </row>
    <row r="834" spans="21:21" x14ac:dyDescent="0.45">
      <c r="U834" s="1"/>
    </row>
    <row r="835" spans="21:21" x14ac:dyDescent="0.45">
      <c r="U835" s="1"/>
    </row>
    <row r="836" spans="21:21" x14ac:dyDescent="0.45">
      <c r="U836" s="1"/>
    </row>
    <row r="837" spans="21:21" x14ac:dyDescent="0.45">
      <c r="U837" s="1"/>
    </row>
    <row r="838" spans="21:21" x14ac:dyDescent="0.45">
      <c r="U838" s="1"/>
    </row>
    <row r="839" spans="21:21" x14ac:dyDescent="0.45">
      <c r="U839" s="1"/>
    </row>
    <row r="840" spans="21:21" x14ac:dyDescent="0.45">
      <c r="U840" s="1"/>
    </row>
    <row r="841" spans="21:21" x14ac:dyDescent="0.45">
      <c r="U841" s="1"/>
    </row>
    <row r="842" spans="21:21" x14ac:dyDescent="0.45">
      <c r="U842" s="1"/>
    </row>
    <row r="843" spans="21:21" x14ac:dyDescent="0.45">
      <c r="U843" s="1"/>
    </row>
    <row r="844" spans="21:21" x14ac:dyDescent="0.45">
      <c r="U844" s="1"/>
    </row>
    <row r="845" spans="21:21" x14ac:dyDescent="0.45">
      <c r="U845" s="1"/>
    </row>
    <row r="846" spans="21:21" x14ac:dyDescent="0.45">
      <c r="U846" s="1"/>
    </row>
    <row r="847" spans="21:21" x14ac:dyDescent="0.45">
      <c r="U847" s="1"/>
    </row>
    <row r="848" spans="21:21" x14ac:dyDescent="0.45">
      <c r="U848" s="1"/>
    </row>
    <row r="849" spans="21:21" x14ac:dyDescent="0.45">
      <c r="U849" s="1"/>
    </row>
    <row r="850" spans="21:21" x14ac:dyDescent="0.45">
      <c r="U850" s="1"/>
    </row>
    <row r="851" spans="21:21" x14ac:dyDescent="0.45">
      <c r="U851" s="1"/>
    </row>
    <row r="852" spans="21:21" x14ac:dyDescent="0.45">
      <c r="U852" s="1"/>
    </row>
    <row r="853" spans="21:21" x14ac:dyDescent="0.45">
      <c r="U853" s="1"/>
    </row>
    <row r="854" spans="21:21" x14ac:dyDescent="0.45">
      <c r="U854" s="1"/>
    </row>
    <row r="855" spans="21:21" x14ac:dyDescent="0.45">
      <c r="U855" s="1"/>
    </row>
    <row r="856" spans="21:21" x14ac:dyDescent="0.45">
      <c r="U856" s="1"/>
    </row>
    <row r="857" spans="21:21" x14ac:dyDescent="0.45">
      <c r="U857" s="1"/>
    </row>
    <row r="858" spans="21:21" x14ac:dyDescent="0.45">
      <c r="U858" s="1"/>
    </row>
    <row r="859" spans="21:21" x14ac:dyDescent="0.45">
      <c r="U859" s="1"/>
    </row>
    <row r="860" spans="21:21" x14ac:dyDescent="0.45">
      <c r="U860" s="1"/>
    </row>
    <row r="861" spans="21:21" x14ac:dyDescent="0.45">
      <c r="U861" s="1"/>
    </row>
    <row r="862" spans="21:21" x14ac:dyDescent="0.45">
      <c r="U862" s="1"/>
    </row>
    <row r="863" spans="21:21" x14ac:dyDescent="0.45">
      <c r="U863" s="1"/>
    </row>
    <row r="864" spans="21:21" x14ac:dyDescent="0.45">
      <c r="U864" s="1"/>
    </row>
    <row r="865" spans="21:21" x14ac:dyDescent="0.45">
      <c r="U865" s="1"/>
    </row>
    <row r="866" spans="21:21" x14ac:dyDescent="0.45">
      <c r="U866" s="1"/>
    </row>
    <row r="867" spans="21:21" x14ac:dyDescent="0.45">
      <c r="U867" s="1"/>
    </row>
    <row r="868" spans="21:21" x14ac:dyDescent="0.45">
      <c r="U868" s="1"/>
    </row>
    <row r="869" spans="21:21" x14ac:dyDescent="0.45">
      <c r="U869" s="1"/>
    </row>
    <row r="870" spans="21:21" x14ac:dyDescent="0.45">
      <c r="U870" s="1"/>
    </row>
    <row r="871" spans="21:21" x14ac:dyDescent="0.45">
      <c r="U871" s="1"/>
    </row>
    <row r="872" spans="21:21" x14ac:dyDescent="0.45">
      <c r="U872" s="1"/>
    </row>
    <row r="873" spans="21:21" x14ac:dyDescent="0.45">
      <c r="U873" s="1"/>
    </row>
    <row r="874" spans="21:21" x14ac:dyDescent="0.45">
      <c r="U874" s="1"/>
    </row>
    <row r="875" spans="21:21" x14ac:dyDescent="0.45">
      <c r="U875" s="1"/>
    </row>
    <row r="876" spans="21:21" x14ac:dyDescent="0.45">
      <c r="U876" s="1"/>
    </row>
    <row r="877" spans="21:21" x14ac:dyDescent="0.45">
      <c r="U877" s="1"/>
    </row>
    <row r="878" spans="21:21" x14ac:dyDescent="0.45">
      <c r="U878" s="1"/>
    </row>
    <row r="879" spans="21:21" x14ac:dyDescent="0.45">
      <c r="U879" s="1"/>
    </row>
    <row r="880" spans="21:21" x14ac:dyDescent="0.45">
      <c r="U880" s="1"/>
    </row>
    <row r="881" spans="21:21" x14ac:dyDescent="0.45">
      <c r="U881" s="1"/>
    </row>
    <row r="882" spans="21:21" x14ac:dyDescent="0.45">
      <c r="U882" s="1"/>
    </row>
    <row r="883" spans="21:21" x14ac:dyDescent="0.45">
      <c r="U883" s="1"/>
    </row>
    <row r="884" spans="21:21" x14ac:dyDescent="0.45">
      <c r="U884" s="1"/>
    </row>
    <row r="885" spans="21:21" x14ac:dyDescent="0.45">
      <c r="U885" s="1"/>
    </row>
    <row r="886" spans="21:21" x14ac:dyDescent="0.45">
      <c r="U886" s="1"/>
    </row>
    <row r="887" spans="21:21" x14ac:dyDescent="0.45">
      <c r="U887" s="1"/>
    </row>
    <row r="888" spans="21:21" x14ac:dyDescent="0.45">
      <c r="U888" s="1"/>
    </row>
    <row r="889" spans="21:21" x14ac:dyDescent="0.45">
      <c r="U889" s="1"/>
    </row>
    <row r="890" spans="21:21" x14ac:dyDescent="0.45">
      <c r="U890" s="1"/>
    </row>
    <row r="891" spans="21:21" x14ac:dyDescent="0.45">
      <c r="U891" s="1"/>
    </row>
    <row r="892" spans="21:21" x14ac:dyDescent="0.45">
      <c r="U892" s="1"/>
    </row>
    <row r="893" spans="21:21" x14ac:dyDescent="0.45">
      <c r="U893" s="1"/>
    </row>
    <row r="894" spans="21:21" x14ac:dyDescent="0.45">
      <c r="U894" s="1"/>
    </row>
    <row r="895" spans="21:21" x14ac:dyDescent="0.45">
      <c r="U895" s="1"/>
    </row>
    <row r="896" spans="21:21" x14ac:dyDescent="0.45">
      <c r="U896" s="1"/>
    </row>
    <row r="897" spans="21:21" x14ac:dyDescent="0.45">
      <c r="U897" s="1"/>
    </row>
    <row r="898" spans="21:21" x14ac:dyDescent="0.45">
      <c r="U898" s="1"/>
    </row>
    <row r="899" spans="21:21" x14ac:dyDescent="0.45">
      <c r="U899" s="1"/>
    </row>
    <row r="900" spans="21:21" x14ac:dyDescent="0.45">
      <c r="U900" s="1"/>
    </row>
    <row r="901" spans="21:21" x14ac:dyDescent="0.45">
      <c r="U901" s="1"/>
    </row>
    <row r="902" spans="21:21" x14ac:dyDescent="0.45">
      <c r="U902" s="1"/>
    </row>
    <row r="903" spans="21:21" x14ac:dyDescent="0.45">
      <c r="U903" s="1"/>
    </row>
    <row r="904" spans="21:21" x14ac:dyDescent="0.45">
      <c r="U904" s="1"/>
    </row>
    <row r="905" spans="21:21" x14ac:dyDescent="0.45">
      <c r="U905" s="1"/>
    </row>
    <row r="906" spans="21:21" x14ac:dyDescent="0.45">
      <c r="U906" s="1"/>
    </row>
    <row r="907" spans="21:21" x14ac:dyDescent="0.45">
      <c r="U907" s="1"/>
    </row>
    <row r="908" spans="21:21" x14ac:dyDescent="0.45">
      <c r="U908" s="1"/>
    </row>
    <row r="909" spans="21:21" x14ac:dyDescent="0.45">
      <c r="U909" s="1"/>
    </row>
    <row r="910" spans="21:21" x14ac:dyDescent="0.45">
      <c r="U910" s="1"/>
    </row>
    <row r="911" spans="21:21" x14ac:dyDescent="0.45">
      <c r="U911" s="1"/>
    </row>
    <row r="912" spans="21:21" x14ac:dyDescent="0.45">
      <c r="U912" s="1"/>
    </row>
    <row r="913" spans="21:21" x14ac:dyDescent="0.45">
      <c r="U913" s="1"/>
    </row>
    <row r="914" spans="21:21" x14ac:dyDescent="0.45">
      <c r="U914" s="1"/>
    </row>
    <row r="915" spans="21:21" x14ac:dyDescent="0.45">
      <c r="U915" s="1"/>
    </row>
    <row r="916" spans="21:21" x14ac:dyDescent="0.45">
      <c r="U916" s="1"/>
    </row>
    <row r="917" spans="21:21" x14ac:dyDescent="0.45">
      <c r="U917" s="1"/>
    </row>
    <row r="918" spans="21:21" x14ac:dyDescent="0.45">
      <c r="U918" s="1"/>
    </row>
    <row r="919" spans="21:21" x14ac:dyDescent="0.45">
      <c r="U919" s="1"/>
    </row>
    <row r="920" spans="21:21" x14ac:dyDescent="0.45">
      <c r="U920" s="1"/>
    </row>
    <row r="921" spans="21:21" x14ac:dyDescent="0.45">
      <c r="U921" s="1"/>
    </row>
    <row r="922" spans="21:21" x14ac:dyDescent="0.45">
      <c r="U922" s="1"/>
    </row>
    <row r="923" spans="21:21" x14ac:dyDescent="0.45">
      <c r="U923" s="1"/>
    </row>
    <row r="924" spans="21:21" x14ac:dyDescent="0.45">
      <c r="U924" s="1"/>
    </row>
    <row r="925" spans="21:21" x14ac:dyDescent="0.45">
      <c r="U925" s="1"/>
    </row>
    <row r="926" spans="21:21" x14ac:dyDescent="0.45">
      <c r="U926" s="1"/>
    </row>
    <row r="927" spans="21:21" x14ac:dyDescent="0.45">
      <c r="U927" s="1"/>
    </row>
    <row r="928" spans="21:21" x14ac:dyDescent="0.45">
      <c r="U928" s="1"/>
    </row>
    <row r="929" spans="21:21" x14ac:dyDescent="0.45">
      <c r="U929" s="1"/>
    </row>
    <row r="930" spans="21:21" x14ac:dyDescent="0.45">
      <c r="U930" s="1"/>
    </row>
    <row r="931" spans="21:21" x14ac:dyDescent="0.45">
      <c r="U931" s="1"/>
    </row>
    <row r="932" spans="21:21" x14ac:dyDescent="0.45">
      <c r="U932" s="1"/>
    </row>
    <row r="933" spans="21:21" x14ac:dyDescent="0.45">
      <c r="U933" s="1"/>
    </row>
    <row r="934" spans="21:21" x14ac:dyDescent="0.45">
      <c r="U934" s="1"/>
    </row>
    <row r="935" spans="21:21" x14ac:dyDescent="0.45">
      <c r="U935" s="1"/>
    </row>
    <row r="936" spans="21:21" x14ac:dyDescent="0.45">
      <c r="U936" s="1"/>
    </row>
    <row r="937" spans="21:21" x14ac:dyDescent="0.45">
      <c r="U937" s="1"/>
    </row>
    <row r="938" spans="21:21" x14ac:dyDescent="0.45">
      <c r="U938" s="1"/>
    </row>
    <row r="939" spans="21:21" x14ac:dyDescent="0.45">
      <c r="U939" s="1"/>
    </row>
    <row r="940" spans="21:21" x14ac:dyDescent="0.45">
      <c r="U940" s="1"/>
    </row>
    <row r="941" spans="21:21" x14ac:dyDescent="0.45">
      <c r="U941" s="1"/>
    </row>
    <row r="942" spans="21:21" x14ac:dyDescent="0.45">
      <c r="U942" s="1"/>
    </row>
    <row r="943" spans="21:21" x14ac:dyDescent="0.45">
      <c r="U943" s="1"/>
    </row>
    <row r="944" spans="21:21" x14ac:dyDescent="0.45">
      <c r="U944" s="1"/>
    </row>
    <row r="945" spans="21:21" x14ac:dyDescent="0.45">
      <c r="U945" s="1"/>
    </row>
    <row r="946" spans="21:21" x14ac:dyDescent="0.45">
      <c r="U946" s="1"/>
    </row>
    <row r="947" spans="21:21" x14ac:dyDescent="0.45">
      <c r="U947" s="1"/>
    </row>
    <row r="948" spans="21:21" x14ac:dyDescent="0.45">
      <c r="U948" s="1"/>
    </row>
    <row r="949" spans="21:21" x14ac:dyDescent="0.45">
      <c r="U949" s="1"/>
    </row>
    <row r="950" spans="21:21" x14ac:dyDescent="0.45">
      <c r="U950" s="1"/>
    </row>
    <row r="951" spans="21:21" x14ac:dyDescent="0.45">
      <c r="U951" s="1"/>
    </row>
    <row r="952" spans="21:21" x14ac:dyDescent="0.45">
      <c r="U952" s="1"/>
    </row>
    <row r="953" spans="21:21" x14ac:dyDescent="0.45">
      <c r="U953" s="1"/>
    </row>
    <row r="954" spans="21:21" x14ac:dyDescent="0.45">
      <c r="U954" s="1"/>
    </row>
    <row r="955" spans="21:21" x14ac:dyDescent="0.45">
      <c r="U955" s="1"/>
    </row>
    <row r="956" spans="21:21" x14ac:dyDescent="0.45">
      <c r="U956" s="1"/>
    </row>
    <row r="957" spans="21:21" x14ac:dyDescent="0.45">
      <c r="U957" s="1"/>
    </row>
    <row r="958" spans="21:21" x14ac:dyDescent="0.45">
      <c r="U958" s="1"/>
    </row>
    <row r="959" spans="21:21" x14ac:dyDescent="0.45">
      <c r="U959" s="1"/>
    </row>
    <row r="960" spans="21:21" x14ac:dyDescent="0.45">
      <c r="U960" s="1"/>
    </row>
    <row r="961" spans="21:21" x14ac:dyDescent="0.45">
      <c r="U961" s="1"/>
    </row>
    <row r="962" spans="21:21" x14ac:dyDescent="0.45">
      <c r="U962" s="1"/>
    </row>
    <row r="963" spans="21:21" x14ac:dyDescent="0.45">
      <c r="U963" s="1"/>
    </row>
    <row r="964" spans="21:21" x14ac:dyDescent="0.45">
      <c r="U964" s="1"/>
    </row>
    <row r="965" spans="21:21" x14ac:dyDescent="0.45">
      <c r="U965" s="1"/>
    </row>
    <row r="966" spans="21:21" x14ac:dyDescent="0.45">
      <c r="U966" s="1"/>
    </row>
    <row r="967" spans="21:21" x14ac:dyDescent="0.45">
      <c r="U967" s="1"/>
    </row>
    <row r="968" spans="21:21" x14ac:dyDescent="0.45">
      <c r="U968" s="1"/>
    </row>
    <row r="969" spans="21:21" x14ac:dyDescent="0.45">
      <c r="U969" s="1"/>
    </row>
    <row r="970" spans="21:21" x14ac:dyDescent="0.45">
      <c r="U970" s="1"/>
    </row>
    <row r="971" spans="21:21" x14ac:dyDescent="0.45">
      <c r="U971" s="1"/>
    </row>
    <row r="972" spans="21:21" x14ac:dyDescent="0.45">
      <c r="U972" s="1"/>
    </row>
    <row r="973" spans="21:21" x14ac:dyDescent="0.45">
      <c r="U973" s="1"/>
    </row>
    <row r="974" spans="21:21" x14ac:dyDescent="0.45">
      <c r="U974" s="1"/>
    </row>
    <row r="975" spans="21:21" x14ac:dyDescent="0.45">
      <c r="U975" s="1"/>
    </row>
    <row r="976" spans="21:21" x14ac:dyDescent="0.45">
      <c r="U976" s="1"/>
    </row>
    <row r="977" spans="21:21" x14ac:dyDescent="0.45">
      <c r="U977" s="1"/>
    </row>
    <row r="978" spans="21:21" x14ac:dyDescent="0.45">
      <c r="U978" s="1"/>
    </row>
    <row r="979" spans="21:21" x14ac:dyDescent="0.45">
      <c r="U979" s="1"/>
    </row>
    <row r="980" spans="21:21" x14ac:dyDescent="0.45">
      <c r="U980" s="1"/>
    </row>
    <row r="981" spans="21:21" x14ac:dyDescent="0.45">
      <c r="U981" s="1"/>
    </row>
    <row r="982" spans="21:21" x14ac:dyDescent="0.45">
      <c r="U982" s="1"/>
    </row>
    <row r="983" spans="21:21" x14ac:dyDescent="0.45">
      <c r="U983" s="1"/>
    </row>
    <row r="984" spans="21:21" x14ac:dyDescent="0.45">
      <c r="U984" s="1"/>
    </row>
    <row r="985" spans="21:21" x14ac:dyDescent="0.45">
      <c r="U985" s="1"/>
    </row>
    <row r="986" spans="21:21" x14ac:dyDescent="0.45">
      <c r="U986" s="1"/>
    </row>
    <row r="987" spans="21:21" x14ac:dyDescent="0.45">
      <c r="U987" s="1"/>
    </row>
    <row r="988" spans="21:21" x14ac:dyDescent="0.45">
      <c r="U988" s="1"/>
    </row>
    <row r="989" spans="21:21" x14ac:dyDescent="0.45">
      <c r="U989" s="1"/>
    </row>
    <row r="990" spans="21:21" x14ac:dyDescent="0.45">
      <c r="U990" s="1"/>
    </row>
    <row r="991" spans="21:21" x14ac:dyDescent="0.45">
      <c r="U991" s="1"/>
    </row>
    <row r="992" spans="21:21" x14ac:dyDescent="0.45">
      <c r="U992" s="1"/>
    </row>
    <row r="993" spans="21:21" x14ac:dyDescent="0.45">
      <c r="U993" s="1"/>
    </row>
    <row r="994" spans="21:21" x14ac:dyDescent="0.45">
      <c r="U994" s="1"/>
    </row>
    <row r="995" spans="21:21" x14ac:dyDescent="0.45">
      <c r="U995" s="1"/>
    </row>
    <row r="996" spans="21:21" x14ac:dyDescent="0.45">
      <c r="U996" s="1"/>
    </row>
    <row r="997" spans="21:21" x14ac:dyDescent="0.45">
      <c r="U997" s="1"/>
    </row>
    <row r="998" spans="21:21" x14ac:dyDescent="0.45">
      <c r="U998" s="1"/>
    </row>
    <row r="999" spans="21:21" x14ac:dyDescent="0.45">
      <c r="U999" s="1"/>
    </row>
    <row r="1000" spans="21:21" x14ac:dyDescent="0.45">
      <c r="U1000" s="1"/>
    </row>
    <row r="1001" spans="21:21" x14ac:dyDescent="0.45">
      <c r="U1001" s="1"/>
    </row>
    <row r="1002" spans="21:21" x14ac:dyDescent="0.45">
      <c r="U1002" s="1"/>
    </row>
    <row r="1003" spans="21:21" x14ac:dyDescent="0.45">
      <c r="U1003" s="1"/>
    </row>
    <row r="1004" spans="21:21" x14ac:dyDescent="0.45">
      <c r="U1004" s="1"/>
    </row>
    <row r="1005" spans="21:21" x14ac:dyDescent="0.45">
      <c r="U1005" s="1"/>
    </row>
    <row r="1006" spans="21:21" x14ac:dyDescent="0.45">
      <c r="U1006" s="1"/>
    </row>
    <row r="1007" spans="21:21" x14ac:dyDescent="0.45">
      <c r="U1007" s="1"/>
    </row>
    <row r="1008" spans="21:21" x14ac:dyDescent="0.45">
      <c r="U1008" s="1"/>
    </row>
    <row r="1009" spans="21:21" x14ac:dyDescent="0.45">
      <c r="U1009" s="1"/>
    </row>
    <row r="1010" spans="21:21" x14ac:dyDescent="0.45">
      <c r="U1010" s="1"/>
    </row>
    <row r="1011" spans="21:21" x14ac:dyDescent="0.45">
      <c r="U1011" s="1"/>
    </row>
    <row r="1012" spans="21:21" x14ac:dyDescent="0.45">
      <c r="U1012" s="1"/>
    </row>
    <row r="1013" spans="21:21" x14ac:dyDescent="0.45">
      <c r="U1013" s="1"/>
    </row>
    <row r="1014" spans="21:21" x14ac:dyDescent="0.45">
      <c r="U1014" s="1"/>
    </row>
    <row r="1015" spans="21:21" x14ac:dyDescent="0.45">
      <c r="U1015" s="1"/>
    </row>
    <row r="1016" spans="21:21" x14ac:dyDescent="0.45">
      <c r="U1016" s="1"/>
    </row>
    <row r="1017" spans="21:21" x14ac:dyDescent="0.45">
      <c r="U1017" s="1"/>
    </row>
    <row r="1018" spans="21:21" x14ac:dyDescent="0.45">
      <c r="U1018" s="1"/>
    </row>
    <row r="1019" spans="21:21" x14ac:dyDescent="0.45">
      <c r="U1019" s="1"/>
    </row>
    <row r="1020" spans="21:21" x14ac:dyDescent="0.45">
      <c r="U1020" s="1"/>
    </row>
    <row r="1021" spans="21:21" x14ac:dyDescent="0.45">
      <c r="U1021" s="1"/>
    </row>
    <row r="1022" spans="21:21" x14ac:dyDescent="0.45">
      <c r="U1022" s="1"/>
    </row>
    <row r="1023" spans="21:21" x14ac:dyDescent="0.45">
      <c r="U1023" s="1"/>
    </row>
    <row r="1024" spans="21:21" x14ac:dyDescent="0.45">
      <c r="U1024" s="1"/>
    </row>
    <row r="1025" spans="21:21" x14ac:dyDescent="0.45">
      <c r="U1025" s="1"/>
    </row>
    <row r="1026" spans="21:21" x14ac:dyDescent="0.45">
      <c r="U1026" s="1"/>
    </row>
    <row r="1027" spans="21:21" x14ac:dyDescent="0.45">
      <c r="U1027" s="1"/>
    </row>
    <row r="1028" spans="21:21" x14ac:dyDescent="0.45">
      <c r="U1028" s="1"/>
    </row>
    <row r="1029" spans="21:21" x14ac:dyDescent="0.45">
      <c r="U1029" s="1"/>
    </row>
    <row r="1030" spans="21:21" x14ac:dyDescent="0.45">
      <c r="U1030" s="1"/>
    </row>
    <row r="1031" spans="21:21" x14ac:dyDescent="0.45">
      <c r="U1031" s="1"/>
    </row>
    <row r="1032" spans="21:21" x14ac:dyDescent="0.45">
      <c r="U1032" s="1"/>
    </row>
    <row r="1033" spans="21:21" x14ac:dyDescent="0.45">
      <c r="U1033" s="1"/>
    </row>
    <row r="1034" spans="21:21" x14ac:dyDescent="0.45">
      <c r="U1034" s="1"/>
    </row>
    <row r="1035" spans="21:21" x14ac:dyDescent="0.45">
      <c r="U1035" s="1"/>
    </row>
    <row r="1036" spans="21:21" x14ac:dyDescent="0.45">
      <c r="U1036" s="1"/>
    </row>
    <row r="1037" spans="21:21" x14ac:dyDescent="0.45">
      <c r="U1037" s="1"/>
    </row>
    <row r="1038" spans="21:21" x14ac:dyDescent="0.45">
      <c r="U1038" s="1"/>
    </row>
    <row r="1039" spans="21:21" x14ac:dyDescent="0.45">
      <c r="U1039" s="1"/>
    </row>
    <row r="1040" spans="21:21" x14ac:dyDescent="0.45">
      <c r="U1040" s="1"/>
    </row>
    <row r="1041" spans="21:21" x14ac:dyDescent="0.45">
      <c r="U1041" s="1"/>
    </row>
    <row r="1042" spans="21:21" x14ac:dyDescent="0.45">
      <c r="U1042" s="1"/>
    </row>
    <row r="1043" spans="21:21" x14ac:dyDescent="0.45">
      <c r="U1043" s="1"/>
    </row>
    <row r="1044" spans="21:21" x14ac:dyDescent="0.45">
      <c r="U1044" s="1"/>
    </row>
    <row r="1045" spans="21:21" x14ac:dyDescent="0.45">
      <c r="U1045" s="1"/>
    </row>
    <row r="1046" spans="21:21" x14ac:dyDescent="0.45">
      <c r="U1046" s="1"/>
    </row>
    <row r="1047" spans="21:21" x14ac:dyDescent="0.45">
      <c r="U1047" s="1"/>
    </row>
    <row r="1048" spans="21:21" x14ac:dyDescent="0.45">
      <c r="U1048" s="1"/>
    </row>
    <row r="1049" spans="21:21" x14ac:dyDescent="0.45">
      <c r="U1049" s="1"/>
    </row>
    <row r="1050" spans="21:21" x14ac:dyDescent="0.45">
      <c r="U1050" s="1"/>
    </row>
    <row r="1051" spans="21:21" x14ac:dyDescent="0.45">
      <c r="U1051" s="1"/>
    </row>
    <row r="1052" spans="21:21" x14ac:dyDescent="0.45">
      <c r="U1052" s="1"/>
    </row>
    <row r="1053" spans="21:21" x14ac:dyDescent="0.45">
      <c r="U1053" s="1"/>
    </row>
    <row r="1054" spans="21:21" x14ac:dyDescent="0.45">
      <c r="U1054" s="1"/>
    </row>
    <row r="1055" spans="21:21" x14ac:dyDescent="0.45">
      <c r="U1055" s="1"/>
    </row>
    <row r="1056" spans="21:21" x14ac:dyDescent="0.45">
      <c r="U1056" s="1"/>
    </row>
    <row r="1057" spans="21:21" x14ac:dyDescent="0.45">
      <c r="U1057" s="1"/>
    </row>
    <row r="1058" spans="21:21" x14ac:dyDescent="0.45">
      <c r="U1058" s="1"/>
    </row>
    <row r="1059" spans="21:21" x14ac:dyDescent="0.45">
      <c r="U1059" s="1"/>
    </row>
    <row r="1060" spans="21:21" x14ac:dyDescent="0.45">
      <c r="U1060" s="1"/>
    </row>
    <row r="1061" spans="21:21" x14ac:dyDescent="0.45">
      <c r="U1061" s="1"/>
    </row>
    <row r="1062" spans="21:21" x14ac:dyDescent="0.45">
      <c r="U1062" s="1"/>
    </row>
    <row r="1063" spans="21:21" x14ac:dyDescent="0.45">
      <c r="U1063" s="1"/>
    </row>
    <row r="1064" spans="21:21" x14ac:dyDescent="0.45">
      <c r="U1064" s="1"/>
    </row>
    <row r="1065" spans="21:21" x14ac:dyDescent="0.45">
      <c r="U1065" s="1"/>
    </row>
    <row r="1066" spans="21:21" x14ac:dyDescent="0.45">
      <c r="U1066" s="1"/>
    </row>
    <row r="1067" spans="21:21" x14ac:dyDescent="0.45">
      <c r="U1067" s="1"/>
    </row>
    <row r="1068" spans="21:21" x14ac:dyDescent="0.45">
      <c r="U1068" s="1"/>
    </row>
    <row r="1069" spans="21:21" x14ac:dyDescent="0.45">
      <c r="U1069" s="1"/>
    </row>
    <row r="1070" spans="21:21" x14ac:dyDescent="0.45">
      <c r="U1070" s="1"/>
    </row>
    <row r="1071" spans="21:21" x14ac:dyDescent="0.45">
      <c r="U1071" s="1"/>
    </row>
    <row r="1072" spans="21:21" x14ac:dyDescent="0.45">
      <c r="U1072" s="1"/>
    </row>
    <row r="1073" spans="21:21" x14ac:dyDescent="0.45">
      <c r="U1073" s="1"/>
    </row>
    <row r="1074" spans="21:21" x14ac:dyDescent="0.45">
      <c r="U1074" s="1"/>
    </row>
    <row r="1075" spans="21:21" x14ac:dyDescent="0.45">
      <c r="U1075" s="1"/>
    </row>
    <row r="1076" spans="21:21" x14ac:dyDescent="0.45">
      <c r="U1076" s="1"/>
    </row>
    <row r="1077" spans="21:21" x14ac:dyDescent="0.45">
      <c r="U1077" s="1"/>
    </row>
    <row r="1078" spans="21:21" x14ac:dyDescent="0.45">
      <c r="U1078" s="1"/>
    </row>
    <row r="1079" spans="21:21" x14ac:dyDescent="0.45">
      <c r="U1079" s="1"/>
    </row>
    <row r="1080" spans="21:21" x14ac:dyDescent="0.45">
      <c r="U1080" s="1"/>
    </row>
    <row r="1081" spans="21:21" x14ac:dyDescent="0.45">
      <c r="U1081" s="1"/>
    </row>
    <row r="1082" spans="21:21" x14ac:dyDescent="0.45">
      <c r="U1082" s="1"/>
    </row>
    <row r="1083" spans="21:21" x14ac:dyDescent="0.45">
      <c r="U1083" s="1"/>
    </row>
    <row r="1084" spans="21:21" x14ac:dyDescent="0.45">
      <c r="U1084" s="1"/>
    </row>
    <row r="1085" spans="21:21" x14ac:dyDescent="0.45">
      <c r="U1085" s="1"/>
    </row>
    <row r="1086" spans="21:21" x14ac:dyDescent="0.45">
      <c r="U1086" s="1"/>
    </row>
    <row r="1087" spans="21:21" x14ac:dyDescent="0.45">
      <c r="U1087" s="1"/>
    </row>
    <row r="1088" spans="21:21" x14ac:dyDescent="0.45">
      <c r="U1088" s="1"/>
    </row>
    <row r="1089" spans="21:21" x14ac:dyDescent="0.45">
      <c r="U1089" s="1"/>
    </row>
    <row r="1090" spans="21:21" x14ac:dyDescent="0.45">
      <c r="U1090" s="1"/>
    </row>
    <row r="1091" spans="21:21" x14ac:dyDescent="0.45">
      <c r="U1091" s="1"/>
    </row>
    <row r="1092" spans="21:21" x14ac:dyDescent="0.45">
      <c r="U1092" s="1"/>
    </row>
    <row r="1093" spans="21:21" x14ac:dyDescent="0.45">
      <c r="U1093" s="1"/>
    </row>
    <row r="1094" spans="21:21" x14ac:dyDescent="0.45">
      <c r="U1094" s="1"/>
    </row>
    <row r="1095" spans="21:21" x14ac:dyDescent="0.45">
      <c r="U1095" s="1"/>
    </row>
    <row r="1096" spans="21:21" x14ac:dyDescent="0.45">
      <c r="U1096" s="1"/>
    </row>
    <row r="1097" spans="21:21" x14ac:dyDescent="0.45">
      <c r="U1097" s="1"/>
    </row>
    <row r="1098" spans="21:21" x14ac:dyDescent="0.45">
      <c r="U1098" s="1"/>
    </row>
    <row r="1099" spans="21:21" x14ac:dyDescent="0.45">
      <c r="U1099" s="1"/>
    </row>
    <row r="1100" spans="21:21" x14ac:dyDescent="0.45">
      <c r="U1100" s="1"/>
    </row>
    <row r="1101" spans="21:21" x14ac:dyDescent="0.45">
      <c r="U1101" s="1"/>
    </row>
    <row r="1102" spans="21:21" x14ac:dyDescent="0.45">
      <c r="U1102" s="1"/>
    </row>
    <row r="1103" spans="21:21" x14ac:dyDescent="0.45">
      <c r="U1103" s="1"/>
    </row>
    <row r="1104" spans="21:21" x14ac:dyDescent="0.45">
      <c r="U1104" s="1"/>
    </row>
    <row r="1105" spans="21:21" x14ac:dyDescent="0.45">
      <c r="U1105" s="1"/>
    </row>
    <row r="1106" spans="21:21" x14ac:dyDescent="0.45">
      <c r="U1106" s="1"/>
    </row>
    <row r="1107" spans="21:21" x14ac:dyDescent="0.45">
      <c r="U1107" s="1"/>
    </row>
    <row r="1108" spans="21:21" x14ac:dyDescent="0.45">
      <c r="U1108" s="1"/>
    </row>
    <row r="1109" spans="21:21" x14ac:dyDescent="0.45">
      <c r="U1109" s="1"/>
    </row>
    <row r="1110" spans="21:21" x14ac:dyDescent="0.45">
      <c r="U1110" s="1"/>
    </row>
    <row r="1111" spans="21:21" x14ac:dyDescent="0.45">
      <c r="U1111" s="1"/>
    </row>
    <row r="1112" spans="21:21" x14ac:dyDescent="0.45">
      <c r="U1112" s="1"/>
    </row>
    <row r="1113" spans="21:21" x14ac:dyDescent="0.45">
      <c r="U1113" s="1"/>
    </row>
    <row r="1114" spans="21:21" x14ac:dyDescent="0.45">
      <c r="U1114" s="1"/>
    </row>
    <row r="1115" spans="21:21" x14ac:dyDescent="0.45">
      <c r="U1115" s="1"/>
    </row>
    <row r="1116" spans="21:21" x14ac:dyDescent="0.45">
      <c r="U1116" s="1"/>
    </row>
    <row r="1117" spans="21:21" x14ac:dyDescent="0.45">
      <c r="U1117" s="1"/>
    </row>
    <row r="1118" spans="21:21" x14ac:dyDescent="0.45">
      <c r="U1118" s="1"/>
    </row>
    <row r="1119" spans="21:21" x14ac:dyDescent="0.45">
      <c r="U1119" s="1"/>
    </row>
    <row r="1120" spans="21:21" x14ac:dyDescent="0.45">
      <c r="U1120" s="1"/>
    </row>
    <row r="1121" spans="21:21" x14ac:dyDescent="0.45">
      <c r="U1121" s="1"/>
    </row>
    <row r="1122" spans="21:21" x14ac:dyDescent="0.45">
      <c r="U1122" s="1"/>
    </row>
    <row r="1123" spans="21:21" x14ac:dyDescent="0.45">
      <c r="U1123" s="1"/>
    </row>
    <row r="1124" spans="21:21" x14ac:dyDescent="0.45">
      <c r="U1124" s="1"/>
    </row>
    <row r="1125" spans="21:21" x14ac:dyDescent="0.45">
      <c r="U1125" s="1"/>
    </row>
    <row r="1126" spans="21:21" x14ac:dyDescent="0.45">
      <c r="U1126" s="1"/>
    </row>
    <row r="1127" spans="21:21" x14ac:dyDescent="0.45">
      <c r="U1127" s="1"/>
    </row>
    <row r="1128" spans="21:21" x14ac:dyDescent="0.45">
      <c r="U1128" s="1"/>
    </row>
    <row r="1129" spans="21:21" x14ac:dyDescent="0.45">
      <c r="U1129" s="1"/>
    </row>
    <row r="1130" spans="21:21" x14ac:dyDescent="0.45">
      <c r="U1130" s="1"/>
    </row>
    <row r="1131" spans="21:21" x14ac:dyDescent="0.45">
      <c r="U1131" s="1"/>
    </row>
    <row r="1132" spans="21:21" x14ac:dyDescent="0.45">
      <c r="U1132" s="1"/>
    </row>
    <row r="1133" spans="21:21" x14ac:dyDescent="0.45">
      <c r="U1133" s="1"/>
    </row>
    <row r="1134" spans="21:21" x14ac:dyDescent="0.45">
      <c r="U1134" s="1"/>
    </row>
    <row r="1135" spans="21:21" x14ac:dyDescent="0.45">
      <c r="U1135" s="1"/>
    </row>
    <row r="1136" spans="21:21" x14ac:dyDescent="0.45">
      <c r="U1136" s="1"/>
    </row>
    <row r="1137" spans="21:21" x14ac:dyDescent="0.45">
      <c r="U1137" s="1"/>
    </row>
    <row r="1138" spans="21:21" x14ac:dyDescent="0.45">
      <c r="U1138" s="1"/>
    </row>
    <row r="1139" spans="21:21" x14ac:dyDescent="0.45">
      <c r="U1139" s="1"/>
    </row>
    <row r="1140" spans="21:21" x14ac:dyDescent="0.45">
      <c r="U1140" s="1"/>
    </row>
    <row r="1141" spans="21:21" x14ac:dyDescent="0.45">
      <c r="U1141" s="1"/>
    </row>
    <row r="1142" spans="21:21" x14ac:dyDescent="0.45">
      <c r="U1142" s="1"/>
    </row>
    <row r="1143" spans="21:21" x14ac:dyDescent="0.45">
      <c r="U1143" s="1"/>
    </row>
    <row r="1144" spans="21:21" x14ac:dyDescent="0.45">
      <c r="U1144" s="1"/>
    </row>
    <row r="1145" spans="21:21" x14ac:dyDescent="0.45">
      <c r="U1145" s="1"/>
    </row>
    <row r="1146" spans="21:21" x14ac:dyDescent="0.45">
      <c r="U1146" s="1"/>
    </row>
    <row r="1147" spans="21:21" x14ac:dyDescent="0.45">
      <c r="U1147" s="1"/>
    </row>
    <row r="1148" spans="21:21" x14ac:dyDescent="0.45">
      <c r="U1148" s="1"/>
    </row>
    <row r="1149" spans="21:21" x14ac:dyDescent="0.45">
      <c r="U1149" s="1"/>
    </row>
    <row r="1150" spans="21:21" x14ac:dyDescent="0.45">
      <c r="U1150" s="1"/>
    </row>
    <row r="1151" spans="21:21" x14ac:dyDescent="0.45">
      <c r="U1151" s="1"/>
    </row>
    <row r="1152" spans="21:21" x14ac:dyDescent="0.45">
      <c r="U1152" s="1"/>
    </row>
    <row r="1153" spans="21:21" x14ac:dyDescent="0.45">
      <c r="U1153" s="1"/>
    </row>
    <row r="1154" spans="21:21" x14ac:dyDescent="0.45">
      <c r="U1154" s="1"/>
    </row>
    <row r="1155" spans="21:21" x14ac:dyDescent="0.45">
      <c r="U1155" s="1"/>
    </row>
    <row r="1156" spans="21:21" x14ac:dyDescent="0.45">
      <c r="U1156" s="1"/>
    </row>
    <row r="1157" spans="21:21" x14ac:dyDescent="0.45">
      <c r="U1157" s="1"/>
    </row>
    <row r="1158" spans="21:21" x14ac:dyDescent="0.45">
      <c r="U1158" s="1"/>
    </row>
    <row r="1159" spans="21:21" x14ac:dyDescent="0.45">
      <c r="U1159" s="1"/>
    </row>
    <row r="1160" spans="21:21" x14ac:dyDescent="0.45">
      <c r="U1160" s="1"/>
    </row>
    <row r="1161" spans="21:21" x14ac:dyDescent="0.45">
      <c r="U1161" s="1"/>
    </row>
    <row r="1162" spans="21:21" x14ac:dyDescent="0.45">
      <c r="U1162" s="1"/>
    </row>
    <row r="1163" spans="21:21" x14ac:dyDescent="0.45">
      <c r="U1163" s="1"/>
    </row>
    <row r="1164" spans="21:21" x14ac:dyDescent="0.45">
      <c r="U1164" s="1"/>
    </row>
    <row r="1165" spans="21:21" x14ac:dyDescent="0.45">
      <c r="U1165" s="1"/>
    </row>
    <row r="1166" spans="21:21" x14ac:dyDescent="0.45">
      <c r="U1166" s="1"/>
    </row>
    <row r="1167" spans="21:21" x14ac:dyDescent="0.45">
      <c r="U1167" s="1"/>
    </row>
    <row r="1168" spans="21:21" x14ac:dyDescent="0.45">
      <c r="U1168" s="1"/>
    </row>
    <row r="1169" spans="21:21" x14ac:dyDescent="0.45">
      <c r="U1169" s="1"/>
    </row>
    <row r="1170" spans="21:21" x14ac:dyDescent="0.45">
      <c r="U1170" s="1"/>
    </row>
    <row r="1171" spans="21:21" x14ac:dyDescent="0.45">
      <c r="U1171" s="1"/>
    </row>
    <row r="1172" spans="21:21" x14ac:dyDescent="0.45">
      <c r="U1172" s="1"/>
    </row>
    <row r="1173" spans="21:21" x14ac:dyDescent="0.45">
      <c r="U1173" s="1"/>
    </row>
    <row r="1174" spans="21:21" x14ac:dyDescent="0.45">
      <c r="U1174" s="1"/>
    </row>
    <row r="1175" spans="21:21" x14ac:dyDescent="0.45">
      <c r="U1175" s="1"/>
    </row>
    <row r="1176" spans="21:21" x14ac:dyDescent="0.45">
      <c r="U1176" s="1"/>
    </row>
    <row r="1177" spans="21:21" x14ac:dyDescent="0.45">
      <c r="U1177" s="1"/>
    </row>
    <row r="1178" spans="21:21" x14ac:dyDescent="0.45">
      <c r="U1178" s="1"/>
    </row>
    <row r="1179" spans="21:21" x14ac:dyDescent="0.45">
      <c r="U1179" s="1"/>
    </row>
    <row r="1180" spans="21:21" x14ac:dyDescent="0.45">
      <c r="U1180" s="1"/>
    </row>
    <row r="1181" spans="21:21" x14ac:dyDescent="0.45">
      <c r="U1181" s="1"/>
    </row>
    <row r="1182" spans="21:21" x14ac:dyDescent="0.45">
      <c r="U1182" s="1"/>
    </row>
    <row r="1183" spans="21:21" x14ac:dyDescent="0.45">
      <c r="U1183" s="1"/>
    </row>
    <row r="1184" spans="21:21" x14ac:dyDescent="0.45">
      <c r="U1184" s="1"/>
    </row>
    <row r="1185" spans="21:21" x14ac:dyDescent="0.45">
      <c r="U1185" s="1"/>
    </row>
    <row r="1186" spans="21:21" x14ac:dyDescent="0.45">
      <c r="U1186" s="1"/>
    </row>
    <row r="1187" spans="21:21" x14ac:dyDescent="0.45">
      <c r="U1187" s="1"/>
    </row>
    <row r="1188" spans="21:21" x14ac:dyDescent="0.45">
      <c r="U1188" s="1"/>
    </row>
    <row r="1189" spans="21:21" x14ac:dyDescent="0.45">
      <c r="U1189" s="1"/>
    </row>
    <row r="1190" spans="21:21" x14ac:dyDescent="0.45">
      <c r="U1190" s="1"/>
    </row>
    <row r="1191" spans="21:21" x14ac:dyDescent="0.45">
      <c r="U1191" s="1"/>
    </row>
    <row r="1192" spans="21:21" x14ac:dyDescent="0.45">
      <c r="U1192" s="1"/>
    </row>
    <row r="1193" spans="21:21" x14ac:dyDescent="0.45">
      <c r="U1193" s="1"/>
    </row>
    <row r="1194" spans="21:21" x14ac:dyDescent="0.45">
      <c r="U1194" s="1"/>
    </row>
    <row r="1195" spans="21:21" x14ac:dyDescent="0.45">
      <c r="U1195" s="1"/>
    </row>
    <row r="1196" spans="21:21" x14ac:dyDescent="0.45">
      <c r="U1196" s="1"/>
    </row>
    <row r="1197" spans="21:21" x14ac:dyDescent="0.45">
      <c r="U1197" s="1"/>
    </row>
    <row r="1198" spans="21:21" x14ac:dyDescent="0.45">
      <c r="U1198" s="1"/>
    </row>
    <row r="1199" spans="21:21" x14ac:dyDescent="0.45">
      <c r="U1199" s="1"/>
    </row>
    <row r="1200" spans="21:21" x14ac:dyDescent="0.45">
      <c r="U1200" s="1"/>
    </row>
    <row r="1201" spans="21:21" x14ac:dyDescent="0.45">
      <c r="U1201" s="1"/>
    </row>
    <row r="1202" spans="21:21" x14ac:dyDescent="0.45">
      <c r="U1202" s="1"/>
    </row>
    <row r="1203" spans="21:21" x14ac:dyDescent="0.45">
      <c r="U1203" s="1"/>
    </row>
    <row r="1204" spans="21:21" x14ac:dyDescent="0.45">
      <c r="U1204" s="1"/>
    </row>
    <row r="1205" spans="21:21" x14ac:dyDescent="0.45">
      <c r="U1205" s="1"/>
    </row>
    <row r="1206" spans="21:21" x14ac:dyDescent="0.45">
      <c r="U1206" s="1"/>
    </row>
    <row r="1207" spans="21:21" x14ac:dyDescent="0.45">
      <c r="U1207" s="1"/>
    </row>
    <row r="1208" spans="21:21" x14ac:dyDescent="0.45">
      <c r="U1208" s="1"/>
    </row>
    <row r="1209" spans="21:21" x14ac:dyDescent="0.45">
      <c r="U1209" s="1"/>
    </row>
    <row r="1210" spans="21:21" x14ac:dyDescent="0.45">
      <c r="U1210" s="1"/>
    </row>
    <row r="1211" spans="21:21" x14ac:dyDescent="0.45">
      <c r="U1211" s="1"/>
    </row>
    <row r="1212" spans="21:21" x14ac:dyDescent="0.45">
      <c r="U1212" s="1"/>
    </row>
    <row r="1213" spans="21:21" x14ac:dyDescent="0.45">
      <c r="U1213" s="1"/>
    </row>
    <row r="1214" spans="21:21" x14ac:dyDescent="0.45">
      <c r="U1214" s="1"/>
    </row>
    <row r="1215" spans="21:21" x14ac:dyDescent="0.45">
      <c r="U1215" s="1"/>
    </row>
    <row r="1216" spans="21:21" x14ac:dyDescent="0.45">
      <c r="U1216" s="1"/>
    </row>
    <row r="1217" spans="21:21" x14ac:dyDescent="0.45">
      <c r="U1217" s="1"/>
    </row>
    <row r="1218" spans="21:21" x14ac:dyDescent="0.45">
      <c r="U1218" s="1"/>
    </row>
    <row r="1219" spans="21:21" x14ac:dyDescent="0.45">
      <c r="U1219" s="1"/>
    </row>
    <row r="1220" spans="21:21" x14ac:dyDescent="0.45">
      <c r="U1220" s="1"/>
    </row>
    <row r="1221" spans="21:21" x14ac:dyDescent="0.45">
      <c r="U1221" s="1"/>
    </row>
    <row r="1222" spans="21:21" x14ac:dyDescent="0.45">
      <c r="U1222" s="1"/>
    </row>
    <row r="1223" spans="21:21" x14ac:dyDescent="0.45">
      <c r="U1223" s="1"/>
    </row>
    <row r="1224" spans="21:21" x14ac:dyDescent="0.45">
      <c r="U1224" s="1"/>
    </row>
    <row r="1225" spans="21:21" x14ac:dyDescent="0.45">
      <c r="U1225" s="1"/>
    </row>
    <row r="1226" spans="21:21" x14ac:dyDescent="0.45">
      <c r="U1226" s="1"/>
    </row>
    <row r="1227" spans="21:21" x14ac:dyDescent="0.45">
      <c r="U1227" s="1"/>
    </row>
    <row r="1228" spans="21:21" x14ac:dyDescent="0.45">
      <c r="U1228" s="1"/>
    </row>
    <row r="1229" spans="21:21" x14ac:dyDescent="0.45">
      <c r="U1229" s="1"/>
    </row>
    <row r="1230" spans="21:21" x14ac:dyDescent="0.45">
      <c r="U1230" s="1"/>
    </row>
    <row r="1231" spans="21:21" x14ac:dyDescent="0.45">
      <c r="U1231" s="1"/>
    </row>
    <row r="1232" spans="21:21" x14ac:dyDescent="0.45">
      <c r="U1232" s="1"/>
    </row>
    <row r="1233" spans="21:21" x14ac:dyDescent="0.45">
      <c r="U1233" s="1"/>
    </row>
    <row r="1234" spans="21:21" x14ac:dyDescent="0.45">
      <c r="U1234" s="1"/>
    </row>
    <row r="1235" spans="21:21" x14ac:dyDescent="0.45">
      <c r="U1235" s="1"/>
    </row>
    <row r="1236" spans="21:21" x14ac:dyDescent="0.45">
      <c r="U1236" s="1"/>
    </row>
    <row r="1237" spans="21:21" x14ac:dyDescent="0.45">
      <c r="U1237" s="1"/>
    </row>
    <row r="1238" spans="21:21" x14ac:dyDescent="0.45">
      <c r="U1238" s="1"/>
    </row>
    <row r="1239" spans="21:21" x14ac:dyDescent="0.45">
      <c r="U1239" s="1"/>
    </row>
    <row r="1240" spans="21:21" x14ac:dyDescent="0.45">
      <c r="U1240" s="1"/>
    </row>
    <row r="1241" spans="21:21" x14ac:dyDescent="0.45">
      <c r="U1241" s="1"/>
    </row>
    <row r="1242" spans="21:21" x14ac:dyDescent="0.45">
      <c r="U1242" s="1"/>
    </row>
    <row r="1243" spans="21:21" x14ac:dyDescent="0.45">
      <c r="U1243" s="1"/>
    </row>
    <row r="1244" spans="21:21" x14ac:dyDescent="0.45">
      <c r="U1244" s="1"/>
    </row>
    <row r="1245" spans="21:21" x14ac:dyDescent="0.45">
      <c r="U1245" s="1"/>
    </row>
    <row r="1246" spans="21:21" x14ac:dyDescent="0.45">
      <c r="U1246" s="1"/>
    </row>
    <row r="1247" spans="21:21" x14ac:dyDescent="0.45">
      <c r="U1247" s="1"/>
    </row>
    <row r="1248" spans="21:21" x14ac:dyDescent="0.45">
      <c r="U1248" s="1"/>
    </row>
    <row r="1249" spans="21:21" x14ac:dyDescent="0.45">
      <c r="U1249" s="1"/>
    </row>
    <row r="1250" spans="21:21" x14ac:dyDescent="0.45">
      <c r="U1250" s="1"/>
    </row>
    <row r="1251" spans="21:21" x14ac:dyDescent="0.45">
      <c r="U1251" s="1"/>
    </row>
    <row r="1252" spans="21:21" x14ac:dyDescent="0.45">
      <c r="U1252" s="1"/>
    </row>
    <row r="1253" spans="21:21" x14ac:dyDescent="0.45">
      <c r="U1253" s="1"/>
    </row>
    <row r="1254" spans="21:21" x14ac:dyDescent="0.45">
      <c r="U1254" s="1"/>
    </row>
    <row r="1255" spans="21:21" x14ac:dyDescent="0.45">
      <c r="U1255" s="1"/>
    </row>
    <row r="1256" spans="21:21" x14ac:dyDescent="0.45">
      <c r="U1256" s="1"/>
    </row>
    <row r="1257" spans="21:21" x14ac:dyDescent="0.45">
      <c r="U1257" s="1"/>
    </row>
    <row r="1258" spans="21:21" x14ac:dyDescent="0.45">
      <c r="U1258" s="1"/>
    </row>
    <row r="1259" spans="21:21" x14ac:dyDescent="0.45">
      <c r="U1259" s="1"/>
    </row>
    <row r="1260" spans="21:21" x14ac:dyDescent="0.45">
      <c r="U1260" s="1"/>
    </row>
    <row r="1261" spans="21:21" x14ac:dyDescent="0.45">
      <c r="U1261" s="1"/>
    </row>
    <row r="1262" spans="21:21" x14ac:dyDescent="0.45">
      <c r="U1262" s="1"/>
    </row>
    <row r="1263" spans="21:21" x14ac:dyDescent="0.45">
      <c r="U1263" s="1"/>
    </row>
    <row r="1264" spans="21:21" x14ac:dyDescent="0.45">
      <c r="U1264" s="1"/>
    </row>
    <row r="1265" spans="21:21" x14ac:dyDescent="0.45">
      <c r="U1265" s="1"/>
    </row>
    <row r="1266" spans="21:21" x14ac:dyDescent="0.45">
      <c r="U1266" s="1"/>
    </row>
    <row r="1267" spans="21:21" x14ac:dyDescent="0.45">
      <c r="U1267" s="1"/>
    </row>
    <row r="1268" spans="21:21" x14ac:dyDescent="0.45">
      <c r="U1268" s="1"/>
    </row>
    <row r="1269" spans="21:21" x14ac:dyDescent="0.45">
      <c r="U1269" s="1"/>
    </row>
    <row r="1270" spans="21:21" x14ac:dyDescent="0.45">
      <c r="U1270" s="1"/>
    </row>
    <row r="1271" spans="21:21" x14ac:dyDescent="0.45">
      <c r="U1271" s="1"/>
    </row>
    <row r="1272" spans="21:21" x14ac:dyDescent="0.45">
      <c r="U1272" s="1"/>
    </row>
    <row r="1273" spans="21:21" x14ac:dyDescent="0.45">
      <c r="U1273" s="1"/>
    </row>
    <row r="1274" spans="21:21" x14ac:dyDescent="0.45">
      <c r="U1274" s="1"/>
    </row>
    <row r="1275" spans="21:21" x14ac:dyDescent="0.45">
      <c r="U1275" s="1"/>
    </row>
    <row r="1276" spans="21:21" x14ac:dyDescent="0.45">
      <c r="U1276" s="1"/>
    </row>
    <row r="1277" spans="21:21" x14ac:dyDescent="0.45">
      <c r="U1277" s="1"/>
    </row>
    <row r="1278" spans="21:21" x14ac:dyDescent="0.45">
      <c r="U1278" s="1"/>
    </row>
    <row r="1279" spans="21:21" x14ac:dyDescent="0.45">
      <c r="U1279" s="1"/>
    </row>
    <row r="1280" spans="21:21" x14ac:dyDescent="0.45">
      <c r="U1280" s="1"/>
    </row>
    <row r="1281" spans="20:21" x14ac:dyDescent="0.45">
      <c r="U1281" s="1"/>
    </row>
    <row r="1282" spans="20:21" x14ac:dyDescent="0.45">
      <c r="U1282" s="1"/>
    </row>
    <row r="1283" spans="20:21" x14ac:dyDescent="0.45">
      <c r="U1283" s="1"/>
    </row>
    <row r="1284" spans="20:21" x14ac:dyDescent="0.45">
      <c r="U1284" s="1"/>
    </row>
    <row r="1285" spans="20:21" x14ac:dyDescent="0.45">
      <c r="U1285" s="1"/>
    </row>
    <row r="1286" spans="20:21" x14ac:dyDescent="0.45">
      <c r="U1286" s="1"/>
    </row>
    <row r="1287" spans="20:21" x14ac:dyDescent="0.45">
      <c r="U1287" s="1"/>
    </row>
    <row r="1288" spans="20:21" x14ac:dyDescent="0.45">
      <c r="U1288" s="1"/>
    </row>
    <row r="1289" spans="20:21" x14ac:dyDescent="0.45">
      <c r="U1289" s="1"/>
    </row>
    <row r="1290" spans="20:21" x14ac:dyDescent="0.45">
      <c r="U1290" s="1"/>
    </row>
    <row r="1291" spans="20:21" x14ac:dyDescent="0.45">
      <c r="U1291" s="1"/>
    </row>
    <row r="1292" spans="20:21" x14ac:dyDescent="0.45">
      <c r="T1292" s="17"/>
      <c r="U1292" s="1"/>
    </row>
    <row r="1293" spans="20:21" x14ac:dyDescent="0.45">
      <c r="T1293" s="17"/>
      <c r="U1293" s="1"/>
    </row>
    <row r="1294" spans="20:21" x14ac:dyDescent="0.45">
      <c r="T1294" s="17"/>
      <c r="U1294" s="1"/>
    </row>
    <row r="1295" spans="20:21" x14ac:dyDescent="0.45">
      <c r="T1295" s="17"/>
      <c r="U1295" s="1"/>
    </row>
    <row r="1296" spans="20:21" x14ac:dyDescent="0.45">
      <c r="T1296" s="17"/>
      <c r="U1296" s="1"/>
    </row>
    <row r="1297" spans="20:21" x14ac:dyDescent="0.45">
      <c r="T1297" s="17"/>
      <c r="U1297" s="1"/>
    </row>
    <row r="1298" spans="20:21" x14ac:dyDescent="0.45">
      <c r="T1298" s="17"/>
      <c r="U1298" s="1"/>
    </row>
    <row r="1299" spans="20:21" x14ac:dyDescent="0.45">
      <c r="T1299" s="17"/>
      <c r="U1299" s="1"/>
    </row>
    <row r="1300" spans="20:21" x14ac:dyDescent="0.45">
      <c r="T1300" s="17"/>
      <c r="U1300" s="1"/>
    </row>
    <row r="1301" spans="20:21" x14ac:dyDescent="0.45">
      <c r="T1301" s="17"/>
      <c r="U1301" s="1"/>
    </row>
    <row r="1302" spans="20:21" x14ac:dyDescent="0.45">
      <c r="T1302" s="17"/>
      <c r="U1302" s="1"/>
    </row>
    <row r="1303" spans="20:21" x14ac:dyDescent="0.45">
      <c r="T1303" s="17"/>
      <c r="U1303" s="1"/>
    </row>
    <row r="1304" spans="20:21" x14ac:dyDescent="0.45">
      <c r="T1304" s="17"/>
      <c r="U1304" s="1"/>
    </row>
    <row r="1305" spans="20:21" x14ac:dyDescent="0.45">
      <c r="T1305" s="17"/>
      <c r="U1305" s="1"/>
    </row>
    <row r="1306" spans="20:21" x14ac:dyDescent="0.45">
      <c r="T1306" s="17"/>
      <c r="U1306" s="1"/>
    </row>
    <row r="1307" spans="20:21" x14ac:dyDescent="0.45">
      <c r="T1307" s="17"/>
      <c r="U1307" s="1"/>
    </row>
    <row r="1308" spans="20:21" x14ac:dyDescent="0.45">
      <c r="T1308" s="17"/>
      <c r="U1308" s="1"/>
    </row>
    <row r="1309" spans="20:21" x14ac:dyDescent="0.45">
      <c r="T1309" s="17"/>
      <c r="U1309" s="1"/>
    </row>
    <row r="1310" spans="20:21" x14ac:dyDescent="0.45">
      <c r="T1310" s="17"/>
      <c r="U1310" s="1"/>
    </row>
    <row r="1311" spans="20:21" x14ac:dyDescent="0.45">
      <c r="T1311" s="17"/>
      <c r="U1311" s="1"/>
    </row>
    <row r="1312" spans="20:21" x14ac:dyDescent="0.45">
      <c r="T1312" s="17"/>
      <c r="U1312" s="1"/>
    </row>
    <row r="1313" spans="20:21" x14ac:dyDescent="0.45">
      <c r="T1313" s="17"/>
      <c r="U1313" s="1"/>
    </row>
    <row r="1314" spans="20:21" x14ac:dyDescent="0.45">
      <c r="T1314" s="17"/>
      <c r="U1314" s="1"/>
    </row>
    <row r="1315" spans="20:21" x14ac:dyDescent="0.45">
      <c r="T1315" s="17"/>
      <c r="U1315" s="1"/>
    </row>
    <row r="1316" spans="20:21" x14ac:dyDescent="0.45">
      <c r="T1316" s="17"/>
      <c r="U1316" s="1"/>
    </row>
    <row r="1317" spans="20:21" x14ac:dyDescent="0.45">
      <c r="T1317" s="17"/>
      <c r="U1317" s="1"/>
    </row>
    <row r="1318" spans="20:21" x14ac:dyDescent="0.45">
      <c r="T1318" s="17"/>
      <c r="U1318" s="1"/>
    </row>
    <row r="1319" spans="20:21" x14ac:dyDescent="0.45">
      <c r="T1319" s="17"/>
      <c r="U1319" s="1"/>
    </row>
    <row r="1320" spans="20:21" x14ac:dyDescent="0.45">
      <c r="T1320" s="17"/>
      <c r="U1320" s="1"/>
    </row>
    <row r="1321" spans="20:21" x14ac:dyDescent="0.45">
      <c r="T1321" s="17"/>
      <c r="U1321" s="1"/>
    </row>
    <row r="1322" spans="20:21" x14ac:dyDescent="0.45">
      <c r="T1322" s="17"/>
      <c r="U1322" s="1"/>
    </row>
    <row r="1323" spans="20:21" x14ac:dyDescent="0.45">
      <c r="T1323" s="17"/>
      <c r="U1323" s="1"/>
    </row>
    <row r="1324" spans="20:21" x14ac:dyDescent="0.45">
      <c r="T1324" s="17"/>
      <c r="U1324" s="1"/>
    </row>
    <row r="1325" spans="20:21" x14ac:dyDescent="0.45">
      <c r="T1325" s="17"/>
      <c r="U1325" s="1"/>
    </row>
    <row r="1326" spans="20:21" x14ac:dyDescent="0.45">
      <c r="T1326" s="17"/>
      <c r="U1326" s="1"/>
    </row>
    <row r="1327" spans="20:21" x14ac:dyDescent="0.45">
      <c r="T1327" s="17"/>
      <c r="U1327" s="1"/>
    </row>
    <row r="1328" spans="20:21" x14ac:dyDescent="0.45">
      <c r="T1328" s="17"/>
      <c r="U1328" s="1"/>
    </row>
    <row r="1329" spans="20:21" x14ac:dyDescent="0.45">
      <c r="T1329" s="17"/>
      <c r="U1329" s="1"/>
    </row>
    <row r="1330" spans="20:21" x14ac:dyDescent="0.45">
      <c r="T1330" s="17"/>
      <c r="U1330" s="1"/>
    </row>
    <row r="1331" spans="20:21" x14ac:dyDescent="0.45">
      <c r="T1331" s="17"/>
      <c r="U1331" s="1"/>
    </row>
    <row r="1332" spans="20:21" x14ac:dyDescent="0.45">
      <c r="T1332" s="17"/>
      <c r="U1332" s="1"/>
    </row>
    <row r="1333" spans="20:21" x14ac:dyDescent="0.45">
      <c r="T1333" s="17"/>
      <c r="U1333" s="1"/>
    </row>
    <row r="1334" spans="20:21" x14ac:dyDescent="0.45">
      <c r="T1334" s="17"/>
      <c r="U1334" s="1"/>
    </row>
    <row r="1335" spans="20:21" x14ac:dyDescent="0.45">
      <c r="T1335" s="17"/>
      <c r="U1335" s="1"/>
    </row>
    <row r="1336" spans="20:21" x14ac:dyDescent="0.45">
      <c r="T1336" s="17"/>
      <c r="U1336" s="1"/>
    </row>
    <row r="1337" spans="20:21" x14ac:dyDescent="0.45">
      <c r="T1337" s="17"/>
      <c r="U1337" s="1"/>
    </row>
    <row r="1338" spans="20:21" x14ac:dyDescent="0.45">
      <c r="T1338" s="17"/>
      <c r="U1338" s="1"/>
    </row>
    <row r="1339" spans="20:21" x14ac:dyDescent="0.45">
      <c r="T1339" s="17"/>
      <c r="U1339" s="1"/>
    </row>
    <row r="1340" spans="20:21" x14ac:dyDescent="0.45">
      <c r="T1340" s="17"/>
      <c r="U1340" s="1"/>
    </row>
    <row r="1341" spans="20:21" x14ac:dyDescent="0.45">
      <c r="T1341" s="17"/>
      <c r="U1341" s="1"/>
    </row>
    <row r="1342" spans="20:21" x14ac:dyDescent="0.45">
      <c r="T1342" s="17"/>
      <c r="U1342" s="1"/>
    </row>
    <row r="1343" spans="20:21" x14ac:dyDescent="0.45">
      <c r="T1343" s="17"/>
      <c r="U1343" s="1"/>
    </row>
    <row r="1344" spans="20:21" x14ac:dyDescent="0.45">
      <c r="T1344" s="17"/>
      <c r="U1344" s="1"/>
    </row>
    <row r="1345" spans="20:21" x14ac:dyDescent="0.45">
      <c r="T1345" s="17"/>
      <c r="U1345" s="1"/>
    </row>
    <row r="1346" spans="20:21" x14ac:dyDescent="0.45">
      <c r="T1346" s="17"/>
      <c r="U1346" s="1"/>
    </row>
    <row r="1347" spans="20:21" x14ac:dyDescent="0.45">
      <c r="T1347" s="17"/>
      <c r="U1347" s="1"/>
    </row>
    <row r="1348" spans="20:21" x14ac:dyDescent="0.45">
      <c r="T1348" s="17"/>
      <c r="U1348" s="1"/>
    </row>
    <row r="1349" spans="20:21" x14ac:dyDescent="0.45">
      <c r="T1349" s="17"/>
      <c r="U1349" s="1"/>
    </row>
    <row r="1350" spans="20:21" x14ac:dyDescent="0.45">
      <c r="T1350" s="17"/>
      <c r="U1350" s="1"/>
    </row>
    <row r="1351" spans="20:21" x14ac:dyDescent="0.45">
      <c r="T1351" s="17"/>
      <c r="U1351" s="1"/>
    </row>
    <row r="1352" spans="20:21" x14ac:dyDescent="0.45">
      <c r="T1352" s="17"/>
      <c r="U1352" s="1"/>
    </row>
    <row r="1353" spans="20:21" x14ac:dyDescent="0.45">
      <c r="T1353" s="17"/>
      <c r="U1353" s="1"/>
    </row>
    <row r="1354" spans="20:21" x14ac:dyDescent="0.45">
      <c r="T1354" s="17"/>
      <c r="U1354" s="1"/>
    </row>
    <row r="1355" spans="20:21" x14ac:dyDescent="0.45">
      <c r="T1355" s="17"/>
      <c r="U1355" s="1"/>
    </row>
    <row r="1356" spans="20:21" x14ac:dyDescent="0.45">
      <c r="T1356" s="17"/>
      <c r="U1356" s="1"/>
    </row>
    <row r="1357" spans="20:21" x14ac:dyDescent="0.45">
      <c r="T1357" s="17"/>
      <c r="U1357" s="1"/>
    </row>
    <row r="1358" spans="20:21" x14ac:dyDescent="0.45">
      <c r="T1358" s="17"/>
      <c r="U1358" s="1"/>
    </row>
    <row r="1359" spans="20:21" x14ac:dyDescent="0.45">
      <c r="T1359" s="17"/>
      <c r="U1359" s="1"/>
    </row>
    <row r="1360" spans="20:21" x14ac:dyDescent="0.45">
      <c r="T1360" s="17"/>
      <c r="U1360" s="1"/>
    </row>
    <row r="1361" spans="20:21" x14ac:dyDescent="0.45">
      <c r="T1361" s="17"/>
      <c r="U1361" s="1"/>
    </row>
    <row r="1362" spans="20:21" x14ac:dyDescent="0.45">
      <c r="T1362" s="17"/>
      <c r="U1362" s="1"/>
    </row>
    <row r="1363" spans="20:21" x14ac:dyDescent="0.45">
      <c r="T1363" s="17"/>
      <c r="U1363" s="1"/>
    </row>
    <row r="1364" spans="20:21" x14ac:dyDescent="0.45">
      <c r="T1364" s="17"/>
      <c r="U1364" s="1"/>
    </row>
    <row r="1365" spans="20:21" x14ac:dyDescent="0.45">
      <c r="T1365" s="17"/>
      <c r="U1365" s="1"/>
    </row>
    <row r="1366" spans="20:21" x14ac:dyDescent="0.45">
      <c r="T1366" s="17"/>
      <c r="U1366" s="1"/>
    </row>
    <row r="1367" spans="20:21" x14ac:dyDescent="0.45">
      <c r="T1367" s="17"/>
      <c r="U1367" s="1"/>
    </row>
    <row r="1368" spans="20:21" x14ac:dyDescent="0.45">
      <c r="T1368" s="17"/>
      <c r="U1368" s="1"/>
    </row>
    <row r="1369" spans="20:21" x14ac:dyDescent="0.45">
      <c r="T1369" s="17"/>
      <c r="U1369" s="1"/>
    </row>
    <row r="1370" spans="20:21" x14ac:dyDescent="0.45">
      <c r="T1370" s="17"/>
      <c r="U1370" s="1"/>
    </row>
    <row r="1371" spans="20:21" x14ac:dyDescent="0.45">
      <c r="T1371" s="17"/>
      <c r="U1371" s="1"/>
    </row>
    <row r="1372" spans="20:21" x14ac:dyDescent="0.45">
      <c r="T1372" s="17"/>
      <c r="U1372" s="1"/>
    </row>
    <row r="1373" spans="20:21" x14ac:dyDescent="0.45">
      <c r="T1373" s="17"/>
      <c r="U1373" s="1"/>
    </row>
    <row r="1374" spans="20:21" x14ac:dyDescent="0.45">
      <c r="T1374" s="17"/>
      <c r="U1374" s="1"/>
    </row>
    <row r="1375" spans="20:21" x14ac:dyDescent="0.45">
      <c r="T1375" s="17"/>
      <c r="U1375" s="1"/>
    </row>
    <row r="1376" spans="20:21" x14ac:dyDescent="0.45">
      <c r="T1376" s="17"/>
      <c r="U1376" s="1"/>
    </row>
    <row r="1377" spans="20:21" x14ac:dyDescent="0.45">
      <c r="T1377" s="17"/>
      <c r="U1377" s="1"/>
    </row>
    <row r="1378" spans="20:21" x14ac:dyDescent="0.45">
      <c r="T1378" s="17"/>
      <c r="U1378" s="1"/>
    </row>
    <row r="1379" spans="20:21" x14ac:dyDescent="0.45">
      <c r="T1379" s="17"/>
      <c r="U1379" s="1"/>
    </row>
    <row r="1380" spans="20:21" x14ac:dyDescent="0.45">
      <c r="T1380" s="17"/>
      <c r="U1380" s="1"/>
    </row>
    <row r="1381" spans="20:21" x14ac:dyDescent="0.45">
      <c r="T1381" s="17"/>
      <c r="U1381" s="1"/>
    </row>
    <row r="1382" spans="20:21" x14ac:dyDescent="0.45">
      <c r="T1382" s="17"/>
      <c r="U1382" s="1"/>
    </row>
    <row r="1383" spans="20:21" x14ac:dyDescent="0.45">
      <c r="T1383" s="17"/>
      <c r="U1383" s="1"/>
    </row>
    <row r="1384" spans="20:21" x14ac:dyDescent="0.45">
      <c r="T1384" s="17"/>
      <c r="U1384" s="1"/>
    </row>
    <row r="1385" spans="20:21" x14ac:dyDescent="0.45">
      <c r="T1385" s="17"/>
      <c r="U1385" s="1"/>
    </row>
    <row r="1386" spans="20:21" x14ac:dyDescent="0.45">
      <c r="T1386" s="17"/>
      <c r="U1386" s="1"/>
    </row>
    <row r="1387" spans="20:21" x14ac:dyDescent="0.45">
      <c r="T1387" s="17"/>
      <c r="U1387" s="1"/>
    </row>
    <row r="1388" spans="20:21" x14ac:dyDescent="0.45">
      <c r="T1388" s="17"/>
      <c r="U1388" s="1"/>
    </row>
    <row r="1389" spans="20:21" x14ac:dyDescent="0.45">
      <c r="T1389" s="17"/>
      <c r="U1389" s="1"/>
    </row>
    <row r="1390" spans="20:21" x14ac:dyDescent="0.45">
      <c r="T1390" s="17"/>
      <c r="U1390" s="1"/>
    </row>
    <row r="1391" spans="20:21" x14ac:dyDescent="0.45">
      <c r="T1391" s="17"/>
      <c r="U1391" s="1"/>
    </row>
    <row r="1392" spans="20:21" x14ac:dyDescent="0.45">
      <c r="T1392" s="17"/>
      <c r="U1392" s="1"/>
    </row>
    <row r="1393" spans="20:21" x14ac:dyDescent="0.45">
      <c r="T1393" s="17"/>
      <c r="U1393" s="1"/>
    </row>
    <row r="1394" spans="20:21" x14ac:dyDescent="0.45">
      <c r="T1394" s="17"/>
      <c r="U1394" s="1"/>
    </row>
    <row r="1395" spans="20:21" x14ac:dyDescent="0.45">
      <c r="T1395" s="17"/>
      <c r="U1395" s="1"/>
    </row>
    <row r="1396" spans="20:21" x14ac:dyDescent="0.45">
      <c r="T1396" s="17"/>
      <c r="U1396" s="1"/>
    </row>
    <row r="1397" spans="20:21" x14ac:dyDescent="0.45">
      <c r="T1397" s="17"/>
      <c r="U1397" s="1"/>
    </row>
    <row r="1398" spans="20:21" x14ac:dyDescent="0.45">
      <c r="T1398" s="17"/>
      <c r="U1398" s="1"/>
    </row>
    <row r="1399" spans="20:21" x14ac:dyDescent="0.45">
      <c r="T1399" s="17"/>
      <c r="U1399" s="1"/>
    </row>
    <row r="1400" spans="20:21" x14ac:dyDescent="0.45">
      <c r="T1400" s="17"/>
      <c r="U1400" s="1"/>
    </row>
    <row r="1401" spans="20:21" x14ac:dyDescent="0.45">
      <c r="T1401" s="17"/>
      <c r="U1401" s="1"/>
    </row>
    <row r="1402" spans="20:21" x14ac:dyDescent="0.45">
      <c r="T1402" s="17"/>
      <c r="U1402" s="1"/>
    </row>
    <row r="1403" spans="20:21" x14ac:dyDescent="0.45">
      <c r="T1403" s="17"/>
      <c r="U1403" s="1"/>
    </row>
    <row r="1404" spans="20:21" x14ac:dyDescent="0.45">
      <c r="T1404" s="17"/>
      <c r="U1404" s="1"/>
    </row>
    <row r="1405" spans="20:21" x14ac:dyDescent="0.45">
      <c r="T1405" s="17"/>
      <c r="U1405" s="1"/>
    </row>
    <row r="1406" spans="20:21" x14ac:dyDescent="0.45">
      <c r="T1406" s="17"/>
      <c r="U1406" s="1"/>
    </row>
    <row r="1407" spans="20:21" x14ac:dyDescent="0.45">
      <c r="T1407" s="17"/>
      <c r="U1407" s="1"/>
    </row>
    <row r="1408" spans="20:21" x14ac:dyDescent="0.45">
      <c r="T1408" s="17"/>
      <c r="U1408" s="1"/>
    </row>
    <row r="1409" spans="20:21" x14ac:dyDescent="0.45">
      <c r="T1409" s="17"/>
      <c r="U1409" s="1"/>
    </row>
    <row r="1410" spans="20:21" x14ac:dyDescent="0.45">
      <c r="T1410" s="17"/>
      <c r="U1410" s="1"/>
    </row>
    <row r="1411" spans="20:21" x14ac:dyDescent="0.45">
      <c r="T1411" s="17"/>
      <c r="U1411" s="1"/>
    </row>
    <row r="1412" spans="20:21" x14ac:dyDescent="0.45">
      <c r="T1412" s="17"/>
      <c r="U1412" s="1"/>
    </row>
    <row r="1413" spans="20:21" x14ac:dyDescent="0.45">
      <c r="T1413" s="17"/>
      <c r="U1413" s="1"/>
    </row>
    <row r="1414" spans="20:21" x14ac:dyDescent="0.45">
      <c r="T1414" s="17"/>
      <c r="U1414" s="1"/>
    </row>
    <row r="1415" spans="20:21" x14ac:dyDescent="0.45">
      <c r="T1415" s="17"/>
      <c r="U1415" s="1"/>
    </row>
    <row r="1416" spans="20:21" x14ac:dyDescent="0.45">
      <c r="T1416" s="17"/>
      <c r="U1416" s="1"/>
    </row>
    <row r="1417" spans="20:21" x14ac:dyDescent="0.45">
      <c r="T1417" s="17"/>
      <c r="U1417" s="1"/>
    </row>
    <row r="1418" spans="20:21" x14ac:dyDescent="0.45">
      <c r="T1418" s="17"/>
      <c r="U1418" s="1"/>
    </row>
    <row r="1419" spans="20:21" x14ac:dyDescent="0.45">
      <c r="T1419" s="17"/>
      <c r="U1419" s="1"/>
    </row>
    <row r="1420" spans="20:21" x14ac:dyDescent="0.45">
      <c r="T1420" s="17"/>
      <c r="U1420" s="1"/>
    </row>
    <row r="1421" spans="20:21" x14ac:dyDescent="0.45">
      <c r="T1421" s="17"/>
      <c r="U1421" s="1"/>
    </row>
    <row r="1422" spans="20:21" x14ac:dyDescent="0.45">
      <c r="T1422" s="17"/>
      <c r="U1422" s="1"/>
    </row>
    <row r="1423" spans="20:21" x14ac:dyDescent="0.45">
      <c r="T1423" s="17"/>
      <c r="U1423" s="1"/>
    </row>
    <row r="1424" spans="20:21" x14ac:dyDescent="0.45">
      <c r="T1424" s="17"/>
      <c r="U1424" s="1"/>
    </row>
    <row r="1425" spans="20:21" x14ac:dyDescent="0.45">
      <c r="T1425" s="17"/>
      <c r="U1425" s="1"/>
    </row>
    <row r="1426" spans="20:21" x14ac:dyDescent="0.45">
      <c r="T1426" s="17"/>
      <c r="U1426" s="1"/>
    </row>
    <row r="1427" spans="20:21" x14ac:dyDescent="0.45">
      <c r="T1427" s="17"/>
      <c r="U1427" s="1"/>
    </row>
    <row r="1428" spans="20:21" x14ac:dyDescent="0.45">
      <c r="T1428" s="17"/>
      <c r="U1428" s="1"/>
    </row>
    <row r="1429" spans="20:21" x14ac:dyDescent="0.45">
      <c r="T1429" s="17"/>
      <c r="U1429" s="1"/>
    </row>
    <row r="1430" spans="20:21" x14ac:dyDescent="0.45">
      <c r="T1430" s="17"/>
      <c r="U1430" s="1"/>
    </row>
    <row r="1431" spans="20:21" x14ac:dyDescent="0.45">
      <c r="T1431" s="17"/>
      <c r="U1431" s="1"/>
    </row>
    <row r="1432" spans="20:21" x14ac:dyDescent="0.45">
      <c r="T1432" s="17"/>
      <c r="U1432" s="1"/>
    </row>
    <row r="1433" spans="20:21" x14ac:dyDescent="0.45">
      <c r="T1433" s="17"/>
      <c r="U1433" s="1"/>
    </row>
    <row r="1434" spans="20:21" x14ac:dyDescent="0.45">
      <c r="T1434" s="17"/>
      <c r="U1434" s="1"/>
    </row>
    <row r="1435" spans="20:21" x14ac:dyDescent="0.45">
      <c r="T1435" s="17"/>
      <c r="U1435" s="1"/>
    </row>
    <row r="1436" spans="20:21" x14ac:dyDescent="0.45">
      <c r="T1436" s="17"/>
      <c r="U1436" s="1"/>
    </row>
    <row r="1437" spans="20:21" x14ac:dyDescent="0.45">
      <c r="T1437" s="17"/>
      <c r="U1437" s="1"/>
    </row>
    <row r="1438" spans="20:21" x14ac:dyDescent="0.45">
      <c r="T1438" s="17"/>
      <c r="U1438" s="1"/>
    </row>
    <row r="1439" spans="20:21" x14ac:dyDescent="0.45">
      <c r="T1439" s="17"/>
      <c r="U1439" s="1"/>
    </row>
    <row r="1440" spans="20:21" x14ac:dyDescent="0.45">
      <c r="T1440" s="17"/>
      <c r="U1440" s="1"/>
    </row>
    <row r="1441" spans="20:21" x14ac:dyDescent="0.45">
      <c r="T1441" s="17"/>
      <c r="U1441" s="1"/>
    </row>
    <row r="1442" spans="20:21" x14ac:dyDescent="0.45">
      <c r="T1442" s="17"/>
      <c r="U1442" s="1"/>
    </row>
    <row r="1443" spans="20:21" x14ac:dyDescent="0.45">
      <c r="T1443" s="17"/>
      <c r="U1443" s="1"/>
    </row>
    <row r="1444" spans="20:21" x14ac:dyDescent="0.45">
      <c r="T1444" s="17"/>
      <c r="U1444" s="1"/>
    </row>
    <row r="1445" spans="20:21" x14ac:dyDescent="0.45">
      <c r="T1445" s="17"/>
      <c r="U1445" s="1"/>
    </row>
    <row r="1446" spans="20:21" x14ac:dyDescent="0.45">
      <c r="T1446" s="17"/>
      <c r="U1446" s="1"/>
    </row>
    <row r="1447" spans="20:21" x14ac:dyDescent="0.45">
      <c r="T1447" s="17"/>
      <c r="U1447" s="1"/>
    </row>
    <row r="1448" spans="20:21" x14ac:dyDescent="0.45">
      <c r="T1448" s="17"/>
      <c r="U1448" s="1"/>
    </row>
    <row r="1449" spans="20:21" x14ac:dyDescent="0.45">
      <c r="T1449" s="17"/>
      <c r="U1449" s="1"/>
    </row>
    <row r="1450" spans="20:21" x14ac:dyDescent="0.45">
      <c r="T1450" s="17"/>
      <c r="U1450" s="1"/>
    </row>
    <row r="1451" spans="20:21" x14ac:dyDescent="0.45">
      <c r="T1451" s="17"/>
      <c r="U1451" s="1"/>
    </row>
    <row r="1452" spans="20:21" x14ac:dyDescent="0.45">
      <c r="T1452" s="17"/>
      <c r="U1452" s="1"/>
    </row>
    <row r="1453" spans="20:21" x14ac:dyDescent="0.45">
      <c r="T1453" s="17"/>
      <c r="U1453" s="1"/>
    </row>
    <row r="1454" spans="20:21" x14ac:dyDescent="0.45">
      <c r="T1454" s="17"/>
      <c r="U1454" s="1"/>
    </row>
    <row r="1455" spans="20:21" x14ac:dyDescent="0.45">
      <c r="T1455" s="17"/>
      <c r="U1455" s="1"/>
    </row>
    <row r="1456" spans="20:21" x14ac:dyDescent="0.45">
      <c r="T1456" s="17"/>
      <c r="U1456" s="1"/>
    </row>
    <row r="1457" spans="20:21" x14ac:dyDescent="0.45">
      <c r="T1457" s="17"/>
      <c r="U1457" s="1"/>
    </row>
    <row r="1458" spans="20:21" x14ac:dyDescent="0.45">
      <c r="T1458" s="17"/>
      <c r="U1458" s="1"/>
    </row>
    <row r="1459" spans="20:21" x14ac:dyDescent="0.45">
      <c r="T1459" s="17"/>
      <c r="U1459" s="1"/>
    </row>
    <row r="1460" spans="20:21" x14ac:dyDescent="0.45">
      <c r="T1460" s="17"/>
      <c r="U1460" s="1"/>
    </row>
    <row r="1461" spans="20:21" x14ac:dyDescent="0.45">
      <c r="T1461" s="17"/>
      <c r="U1461" s="1"/>
    </row>
    <row r="1462" spans="20:21" x14ac:dyDescent="0.45">
      <c r="T1462" s="17"/>
      <c r="U1462" s="1"/>
    </row>
    <row r="1463" spans="20:21" x14ac:dyDescent="0.45">
      <c r="T1463" s="17"/>
      <c r="U1463" s="1"/>
    </row>
    <row r="1464" spans="20:21" x14ac:dyDescent="0.45">
      <c r="T1464" s="17"/>
      <c r="U1464" s="1"/>
    </row>
    <row r="1465" spans="20:21" x14ac:dyDescent="0.45">
      <c r="T1465" s="17"/>
      <c r="U1465" s="1"/>
    </row>
    <row r="1466" spans="20:21" x14ac:dyDescent="0.45">
      <c r="T1466" s="17"/>
      <c r="U1466" s="1"/>
    </row>
    <row r="1467" spans="20:21" x14ac:dyDescent="0.45">
      <c r="T1467" s="17"/>
      <c r="U1467" s="1"/>
    </row>
    <row r="1468" spans="20:21" x14ac:dyDescent="0.45">
      <c r="T1468" s="17"/>
      <c r="U1468" s="1"/>
    </row>
    <row r="1469" spans="20:21" x14ac:dyDescent="0.45">
      <c r="T1469" s="17"/>
      <c r="U1469" s="1"/>
    </row>
    <row r="1470" spans="20:21" x14ac:dyDescent="0.45">
      <c r="T1470" s="17"/>
      <c r="U1470" s="1"/>
    </row>
    <row r="1471" spans="20:21" x14ac:dyDescent="0.45">
      <c r="T1471" s="17"/>
      <c r="U1471" s="1"/>
    </row>
    <row r="1472" spans="20:21" x14ac:dyDescent="0.45">
      <c r="T1472" s="17"/>
      <c r="U1472" s="1"/>
    </row>
    <row r="1473" spans="20:21" x14ac:dyDescent="0.45">
      <c r="T1473" s="17"/>
      <c r="U1473" s="1"/>
    </row>
    <row r="1474" spans="20:21" x14ac:dyDescent="0.45">
      <c r="T1474" s="17"/>
      <c r="U1474" s="1"/>
    </row>
    <row r="1475" spans="20:21" x14ac:dyDescent="0.45">
      <c r="T1475" s="17"/>
      <c r="U1475" s="1"/>
    </row>
    <row r="1476" spans="20:21" x14ac:dyDescent="0.45">
      <c r="T1476" s="17"/>
      <c r="U1476" s="1"/>
    </row>
    <row r="1477" spans="20:21" x14ac:dyDescent="0.45">
      <c r="T1477" s="17"/>
      <c r="U1477" s="1"/>
    </row>
    <row r="1478" spans="20:21" x14ac:dyDescent="0.45">
      <c r="T1478" s="17"/>
      <c r="U1478" s="1"/>
    </row>
    <row r="1479" spans="20:21" x14ac:dyDescent="0.45">
      <c r="T1479" s="17"/>
      <c r="U1479" s="1"/>
    </row>
    <row r="1480" spans="20:21" x14ac:dyDescent="0.45">
      <c r="T1480" s="17"/>
      <c r="U1480" s="1"/>
    </row>
    <row r="1481" spans="20:21" x14ac:dyDescent="0.45">
      <c r="T1481" s="17"/>
      <c r="U1481" s="1"/>
    </row>
    <row r="1482" spans="20:21" x14ac:dyDescent="0.45">
      <c r="T1482" s="17"/>
      <c r="U1482" s="1"/>
    </row>
    <row r="1483" spans="20:21" x14ac:dyDescent="0.45">
      <c r="T1483" s="17"/>
      <c r="U1483" s="1"/>
    </row>
    <row r="1484" spans="20:21" x14ac:dyDescent="0.45">
      <c r="T1484" s="17"/>
      <c r="U1484" s="1"/>
    </row>
    <row r="1485" spans="20:21" x14ac:dyDescent="0.45">
      <c r="T1485" s="17"/>
      <c r="U1485" s="1"/>
    </row>
    <row r="1486" spans="20:21" x14ac:dyDescent="0.45">
      <c r="T1486" s="17"/>
      <c r="U1486" s="1"/>
    </row>
    <row r="1487" spans="20:21" x14ac:dyDescent="0.45">
      <c r="T1487" s="17"/>
      <c r="U1487" s="1"/>
    </row>
    <row r="1488" spans="20:21" x14ac:dyDescent="0.45">
      <c r="T1488" s="17"/>
      <c r="U1488" s="1"/>
    </row>
    <row r="1489" spans="20:21" x14ac:dyDescent="0.45">
      <c r="T1489" s="17"/>
      <c r="U1489" s="1"/>
    </row>
    <row r="1490" spans="20:21" x14ac:dyDescent="0.45">
      <c r="T1490" s="17"/>
      <c r="U1490" s="1"/>
    </row>
    <row r="1491" spans="20:21" x14ac:dyDescent="0.45">
      <c r="T1491" s="17"/>
      <c r="U1491" s="1"/>
    </row>
    <row r="1492" spans="20:21" x14ac:dyDescent="0.45">
      <c r="T1492" s="17"/>
      <c r="U1492" s="1"/>
    </row>
    <row r="1493" spans="20:21" x14ac:dyDescent="0.45">
      <c r="T1493" s="17"/>
      <c r="U1493" s="1"/>
    </row>
    <row r="1494" spans="20:21" x14ac:dyDescent="0.45">
      <c r="T1494" s="17"/>
      <c r="U1494" s="1"/>
    </row>
    <row r="1495" spans="20:21" x14ac:dyDescent="0.45">
      <c r="T1495" s="17"/>
      <c r="U1495" s="1"/>
    </row>
    <row r="1496" spans="20:21" x14ac:dyDescent="0.45">
      <c r="T1496" s="17"/>
      <c r="U1496" s="1"/>
    </row>
    <row r="1497" spans="20:21" x14ac:dyDescent="0.45">
      <c r="T1497" s="17"/>
      <c r="U1497" s="1"/>
    </row>
    <row r="1498" spans="20:21" x14ac:dyDescent="0.45">
      <c r="T1498" s="17"/>
      <c r="U1498" s="1"/>
    </row>
    <row r="1499" spans="20:21" x14ac:dyDescent="0.45">
      <c r="T1499" s="17"/>
      <c r="U1499" s="1"/>
    </row>
    <row r="1500" spans="20:21" x14ac:dyDescent="0.45">
      <c r="T1500" s="17"/>
      <c r="U1500" s="1"/>
    </row>
    <row r="1501" spans="20:21" x14ac:dyDescent="0.45">
      <c r="T1501" s="17"/>
      <c r="U1501" s="1"/>
    </row>
    <row r="1502" spans="20:21" x14ac:dyDescent="0.45">
      <c r="T1502" s="17"/>
      <c r="U1502" s="1"/>
    </row>
    <row r="1503" spans="20:21" x14ac:dyDescent="0.45">
      <c r="T1503" s="17"/>
      <c r="U1503" s="1"/>
    </row>
    <row r="1504" spans="20:21" x14ac:dyDescent="0.45">
      <c r="T1504" s="17"/>
      <c r="U1504" s="1"/>
    </row>
    <row r="1505" spans="20:21" x14ac:dyDescent="0.45">
      <c r="T1505" s="17"/>
      <c r="U1505" s="1"/>
    </row>
    <row r="1506" spans="20:21" x14ac:dyDescent="0.45">
      <c r="T1506" s="17"/>
      <c r="U1506" s="1"/>
    </row>
    <row r="1507" spans="20:21" x14ac:dyDescent="0.45">
      <c r="T1507" s="17"/>
      <c r="U1507" s="1"/>
    </row>
    <row r="1508" spans="20:21" x14ac:dyDescent="0.45">
      <c r="T1508" s="17"/>
      <c r="U1508" s="1"/>
    </row>
    <row r="1509" spans="20:21" x14ac:dyDescent="0.45">
      <c r="T1509" s="17"/>
      <c r="U1509" s="1"/>
    </row>
    <row r="1510" spans="20:21" x14ac:dyDescent="0.45">
      <c r="T1510" s="17"/>
      <c r="U1510" s="1"/>
    </row>
    <row r="1511" spans="20:21" x14ac:dyDescent="0.45">
      <c r="T1511" s="17"/>
      <c r="U1511" s="1"/>
    </row>
    <row r="1512" spans="20:21" x14ac:dyDescent="0.45">
      <c r="T1512" s="17"/>
      <c r="U1512" s="1"/>
    </row>
    <row r="1513" spans="20:21" x14ac:dyDescent="0.45">
      <c r="T1513" s="17"/>
      <c r="U1513" s="1"/>
    </row>
    <row r="1514" spans="20:21" x14ac:dyDescent="0.45">
      <c r="T1514" s="17"/>
      <c r="U1514" s="1"/>
    </row>
    <row r="1515" spans="20:21" x14ac:dyDescent="0.45">
      <c r="T1515" s="17"/>
      <c r="U1515" s="1"/>
    </row>
    <row r="1516" spans="20:21" x14ac:dyDescent="0.45">
      <c r="T1516" s="17"/>
      <c r="U1516" s="1"/>
    </row>
    <row r="1517" spans="20:21" x14ac:dyDescent="0.45">
      <c r="T1517" s="17"/>
      <c r="U1517" s="1"/>
    </row>
    <row r="1518" spans="20:21" x14ac:dyDescent="0.45">
      <c r="T1518" s="17"/>
      <c r="U1518" s="1"/>
    </row>
    <row r="1519" spans="20:21" x14ac:dyDescent="0.45">
      <c r="T1519" s="17"/>
      <c r="U1519" s="1"/>
    </row>
    <row r="1520" spans="20:21" x14ac:dyDescent="0.45">
      <c r="T1520" s="17"/>
      <c r="U1520" s="1"/>
    </row>
    <row r="1521" spans="20:21" x14ac:dyDescent="0.45">
      <c r="T1521" s="17"/>
      <c r="U1521" s="1"/>
    </row>
    <row r="1522" spans="20:21" x14ac:dyDescent="0.45">
      <c r="T1522" s="17"/>
      <c r="U1522" s="1"/>
    </row>
    <row r="1523" spans="20:21" x14ac:dyDescent="0.45">
      <c r="T1523" s="17"/>
      <c r="U1523" s="1"/>
    </row>
    <row r="1524" spans="20:21" x14ac:dyDescent="0.45">
      <c r="T1524" s="17"/>
      <c r="U1524" s="1"/>
    </row>
    <row r="1525" spans="20:21" x14ac:dyDescent="0.45">
      <c r="T1525" s="17"/>
      <c r="U1525" s="1"/>
    </row>
    <row r="1526" spans="20:21" x14ac:dyDescent="0.45">
      <c r="T1526" s="17"/>
      <c r="U1526" s="1"/>
    </row>
    <row r="1527" spans="20:21" x14ac:dyDescent="0.45">
      <c r="T1527" s="17"/>
      <c r="U1527" s="1"/>
    </row>
    <row r="1528" spans="20:21" x14ac:dyDescent="0.45">
      <c r="T1528" s="17"/>
      <c r="U1528" s="1"/>
    </row>
    <row r="1529" spans="20:21" x14ac:dyDescent="0.45">
      <c r="T1529" s="17"/>
      <c r="U1529" s="1"/>
    </row>
    <row r="1530" spans="20:21" x14ac:dyDescent="0.45">
      <c r="T1530" s="17"/>
      <c r="U1530" s="1"/>
    </row>
    <row r="1531" spans="20:21" x14ac:dyDescent="0.45">
      <c r="T1531" s="17"/>
      <c r="U1531" s="1"/>
    </row>
    <row r="1532" spans="20:21" x14ac:dyDescent="0.45">
      <c r="T1532" s="17"/>
      <c r="U1532" s="1"/>
    </row>
    <row r="1533" spans="20:21" x14ac:dyDescent="0.45">
      <c r="T1533" s="17"/>
      <c r="U1533" s="1"/>
    </row>
    <row r="1534" spans="20:21" x14ac:dyDescent="0.45">
      <c r="T1534" s="17"/>
      <c r="U1534" s="1"/>
    </row>
    <row r="1535" spans="20:21" x14ac:dyDescent="0.45">
      <c r="T1535" s="17"/>
      <c r="U1535" s="1"/>
    </row>
    <row r="1536" spans="20:21" x14ac:dyDescent="0.45">
      <c r="T1536" s="17"/>
      <c r="U1536" s="1"/>
    </row>
    <row r="1537" spans="20:21" x14ac:dyDescent="0.45">
      <c r="T1537" s="17"/>
      <c r="U1537" s="1"/>
    </row>
    <row r="1538" spans="20:21" x14ac:dyDescent="0.45">
      <c r="T1538" s="17"/>
      <c r="U1538" s="1"/>
    </row>
    <row r="1539" spans="20:21" x14ac:dyDescent="0.45">
      <c r="T1539" s="17"/>
      <c r="U1539" s="1"/>
    </row>
    <row r="1540" spans="20:21" x14ac:dyDescent="0.45">
      <c r="T1540" s="17"/>
      <c r="U1540" s="1"/>
    </row>
    <row r="1541" spans="20:21" x14ac:dyDescent="0.45">
      <c r="T1541" s="17"/>
      <c r="U1541" s="1"/>
    </row>
    <row r="1542" spans="20:21" x14ac:dyDescent="0.45">
      <c r="T1542" s="17"/>
      <c r="U1542" s="1"/>
    </row>
    <row r="1543" spans="20:21" x14ac:dyDescent="0.45">
      <c r="T1543" s="17"/>
      <c r="U1543" s="1"/>
    </row>
    <row r="1544" spans="20:21" x14ac:dyDescent="0.45">
      <c r="T1544" s="17"/>
      <c r="U1544" s="1"/>
    </row>
    <row r="1545" spans="20:21" x14ac:dyDescent="0.45">
      <c r="T1545" s="17"/>
      <c r="U1545" s="1"/>
    </row>
    <row r="1546" spans="20:21" x14ac:dyDescent="0.45">
      <c r="T1546" s="17"/>
      <c r="U1546" s="1"/>
    </row>
    <row r="1547" spans="20:21" x14ac:dyDescent="0.45">
      <c r="T1547" s="17"/>
      <c r="U1547" s="1"/>
    </row>
    <row r="1548" spans="20:21" x14ac:dyDescent="0.45">
      <c r="T1548" s="17"/>
      <c r="U1548" s="1"/>
    </row>
    <row r="1549" spans="20:21" x14ac:dyDescent="0.45">
      <c r="T1549" s="17"/>
      <c r="U1549" s="1"/>
    </row>
    <row r="1550" spans="20:21" x14ac:dyDescent="0.45">
      <c r="T1550" s="17"/>
      <c r="U1550" s="1"/>
    </row>
    <row r="1551" spans="20:21" x14ac:dyDescent="0.45">
      <c r="T1551" s="17"/>
      <c r="U1551" s="1"/>
    </row>
    <row r="1552" spans="20:21" x14ac:dyDescent="0.45">
      <c r="T1552" s="17"/>
      <c r="U1552" s="1"/>
    </row>
    <row r="1553" spans="20:21" x14ac:dyDescent="0.45">
      <c r="T1553" s="17"/>
      <c r="U1553" s="1"/>
    </row>
    <row r="1554" spans="20:21" x14ac:dyDescent="0.45">
      <c r="T1554" s="17"/>
      <c r="U1554" s="1"/>
    </row>
    <row r="1555" spans="20:21" x14ac:dyDescent="0.45">
      <c r="T1555" s="17"/>
      <c r="U1555" s="1"/>
    </row>
    <row r="1556" spans="20:21" x14ac:dyDescent="0.45">
      <c r="T1556" s="17"/>
      <c r="U1556" s="1"/>
    </row>
    <row r="1557" spans="20:21" x14ac:dyDescent="0.45">
      <c r="T1557" s="17"/>
      <c r="U1557" s="1"/>
    </row>
    <row r="1558" spans="20:21" x14ac:dyDescent="0.45">
      <c r="T1558" s="17"/>
      <c r="U1558" s="1"/>
    </row>
    <row r="1559" spans="20:21" x14ac:dyDescent="0.45">
      <c r="T1559" s="17"/>
      <c r="U1559" s="1"/>
    </row>
    <row r="1560" spans="20:21" x14ac:dyDescent="0.45">
      <c r="T1560" s="17"/>
      <c r="U1560" s="1"/>
    </row>
    <row r="1561" spans="20:21" x14ac:dyDescent="0.45">
      <c r="T1561" s="17"/>
      <c r="U1561" s="1"/>
    </row>
    <row r="1562" spans="20:21" x14ac:dyDescent="0.45">
      <c r="T1562" s="17"/>
      <c r="U1562" s="1"/>
    </row>
    <row r="1563" spans="20:21" x14ac:dyDescent="0.45">
      <c r="T1563" s="17"/>
      <c r="U1563" s="1"/>
    </row>
    <row r="1564" spans="20:21" x14ac:dyDescent="0.45">
      <c r="T1564" s="17"/>
      <c r="U1564" s="1"/>
    </row>
    <row r="1565" spans="20:21" x14ac:dyDescent="0.45">
      <c r="T1565" s="17"/>
      <c r="U1565" s="1"/>
    </row>
    <row r="1566" spans="20:21" x14ac:dyDescent="0.45">
      <c r="T1566" s="17"/>
      <c r="U1566" s="1"/>
    </row>
    <row r="1567" spans="20:21" x14ac:dyDescent="0.45">
      <c r="T1567" s="17"/>
      <c r="U1567" s="1"/>
    </row>
    <row r="1568" spans="20:21" x14ac:dyDescent="0.45">
      <c r="T1568" s="17"/>
      <c r="U1568" s="1"/>
    </row>
    <row r="1569" spans="20:21" x14ac:dyDescent="0.45">
      <c r="T1569" s="17"/>
      <c r="U1569" s="1"/>
    </row>
    <row r="1570" spans="20:21" x14ac:dyDescent="0.45">
      <c r="T1570" s="17"/>
      <c r="U1570" s="1"/>
    </row>
    <row r="1571" spans="20:21" x14ac:dyDescent="0.45">
      <c r="T1571" s="17"/>
      <c r="U1571" s="1"/>
    </row>
    <row r="1572" spans="20:21" x14ac:dyDescent="0.45">
      <c r="T1572" s="17"/>
      <c r="U1572" s="1"/>
    </row>
    <row r="1573" spans="20:21" x14ac:dyDescent="0.45">
      <c r="T1573" s="17"/>
      <c r="U1573" s="1"/>
    </row>
    <row r="1574" spans="20:21" x14ac:dyDescent="0.45">
      <c r="T1574" s="17"/>
      <c r="U1574" s="1"/>
    </row>
    <row r="1575" spans="20:21" x14ac:dyDescent="0.45">
      <c r="T1575" s="17"/>
      <c r="U1575" s="1"/>
    </row>
    <row r="1576" spans="20:21" x14ac:dyDescent="0.45">
      <c r="T1576" s="17"/>
      <c r="U1576" s="1"/>
    </row>
    <row r="1577" spans="20:21" x14ac:dyDescent="0.45">
      <c r="T1577" s="17"/>
      <c r="U1577" s="1"/>
    </row>
    <row r="1578" spans="20:21" x14ac:dyDescent="0.45">
      <c r="T1578" s="17"/>
      <c r="U1578" s="1"/>
    </row>
    <row r="1579" spans="20:21" x14ac:dyDescent="0.45">
      <c r="T1579" s="17"/>
      <c r="U1579" s="1"/>
    </row>
    <row r="1580" spans="20:21" x14ac:dyDescent="0.45">
      <c r="T1580" s="17"/>
      <c r="U1580" s="1"/>
    </row>
    <row r="1581" spans="20:21" x14ac:dyDescent="0.45">
      <c r="T1581" s="17"/>
      <c r="U1581" s="1"/>
    </row>
    <row r="1582" spans="20:21" x14ac:dyDescent="0.45">
      <c r="T1582" s="17"/>
      <c r="U1582" s="1"/>
    </row>
    <row r="1583" spans="20:21" x14ac:dyDescent="0.45">
      <c r="T1583" s="17"/>
      <c r="U1583" s="1"/>
    </row>
    <row r="1584" spans="20:21" x14ac:dyDescent="0.45">
      <c r="T1584" s="17"/>
      <c r="U1584" s="1"/>
    </row>
    <row r="1585" spans="20:21" x14ac:dyDescent="0.45">
      <c r="T1585" s="17"/>
      <c r="U1585" s="1"/>
    </row>
    <row r="1586" spans="20:21" x14ac:dyDescent="0.45">
      <c r="T1586" s="17"/>
      <c r="U1586" s="1"/>
    </row>
    <row r="1587" spans="20:21" x14ac:dyDescent="0.45">
      <c r="T1587" s="17"/>
      <c r="U1587" s="1"/>
    </row>
    <row r="1588" spans="20:21" x14ac:dyDescent="0.45">
      <c r="T1588" s="17"/>
      <c r="U1588" s="1"/>
    </row>
    <row r="1589" spans="20:21" x14ac:dyDescent="0.45">
      <c r="T1589" s="17"/>
      <c r="U1589" s="1"/>
    </row>
    <row r="1590" spans="20:21" x14ac:dyDescent="0.45">
      <c r="T1590" s="17"/>
      <c r="U1590" s="1"/>
    </row>
    <row r="1591" spans="20:21" x14ac:dyDescent="0.45">
      <c r="T1591" s="17"/>
      <c r="U1591" s="1"/>
    </row>
    <row r="1592" spans="20:21" x14ac:dyDescent="0.45">
      <c r="T1592" s="17"/>
      <c r="U1592" s="1"/>
    </row>
    <row r="1593" spans="20:21" x14ac:dyDescent="0.45">
      <c r="T1593" s="17"/>
      <c r="U1593" s="1"/>
    </row>
    <row r="1594" spans="20:21" x14ac:dyDescent="0.45">
      <c r="T1594" s="17"/>
      <c r="U1594" s="1"/>
    </row>
    <row r="1595" spans="20:21" x14ac:dyDescent="0.45">
      <c r="T1595" s="17"/>
      <c r="U1595" s="1"/>
    </row>
    <row r="1596" spans="20:21" x14ac:dyDescent="0.45">
      <c r="T1596" s="17"/>
      <c r="U1596" s="1"/>
    </row>
    <row r="1597" spans="20:21" x14ac:dyDescent="0.45">
      <c r="T1597" s="17"/>
      <c r="U1597" s="1"/>
    </row>
    <row r="1598" spans="20:21" x14ac:dyDescent="0.45">
      <c r="T1598" s="17"/>
      <c r="U1598" s="1"/>
    </row>
    <row r="1599" spans="20:21" x14ac:dyDescent="0.45">
      <c r="T1599" s="17"/>
      <c r="U1599" s="1"/>
    </row>
    <row r="1600" spans="20:21" x14ac:dyDescent="0.45">
      <c r="T1600" s="17"/>
      <c r="U1600" s="1"/>
    </row>
    <row r="1601" spans="20:21" x14ac:dyDescent="0.45">
      <c r="T1601" s="17"/>
      <c r="U1601" s="1"/>
    </row>
    <row r="1602" spans="20:21" x14ac:dyDescent="0.45">
      <c r="T1602" s="17"/>
      <c r="U1602" s="1"/>
    </row>
    <row r="1603" spans="20:21" x14ac:dyDescent="0.45">
      <c r="T1603" s="17"/>
      <c r="U1603" s="1"/>
    </row>
    <row r="1604" spans="20:21" x14ac:dyDescent="0.45">
      <c r="T1604" s="17"/>
      <c r="U1604" s="1"/>
    </row>
    <row r="1605" spans="20:21" x14ac:dyDescent="0.45">
      <c r="T1605" s="17"/>
      <c r="U1605" s="1"/>
    </row>
    <row r="1606" spans="20:21" x14ac:dyDescent="0.45">
      <c r="T1606" s="17"/>
      <c r="U1606" s="1"/>
    </row>
    <row r="1607" spans="20:21" x14ac:dyDescent="0.45">
      <c r="T1607" s="17"/>
      <c r="U1607" s="1"/>
    </row>
    <row r="1608" spans="20:21" x14ac:dyDescent="0.45">
      <c r="T1608" s="17"/>
      <c r="U1608" s="1"/>
    </row>
    <row r="1609" spans="20:21" x14ac:dyDescent="0.45">
      <c r="T1609" s="17"/>
      <c r="U1609" s="1"/>
    </row>
    <row r="1610" spans="20:21" x14ac:dyDescent="0.45">
      <c r="T1610" s="17"/>
      <c r="U1610" s="1"/>
    </row>
    <row r="1611" spans="20:21" x14ac:dyDescent="0.45">
      <c r="T1611" s="17"/>
      <c r="U1611" s="1"/>
    </row>
    <row r="1612" spans="20:21" x14ac:dyDescent="0.45">
      <c r="T1612" s="17"/>
      <c r="U1612" s="1"/>
    </row>
    <row r="1613" spans="20:21" x14ac:dyDescent="0.45">
      <c r="T1613" s="17"/>
      <c r="U1613" s="1"/>
    </row>
    <row r="1614" spans="20:21" x14ac:dyDescent="0.45">
      <c r="T1614" s="17"/>
      <c r="U1614" s="1"/>
    </row>
    <row r="1615" spans="20:21" x14ac:dyDescent="0.45">
      <c r="T1615" s="17"/>
      <c r="U1615" s="1"/>
    </row>
    <row r="1616" spans="20:21" x14ac:dyDescent="0.45">
      <c r="T1616" s="17"/>
      <c r="U1616" s="1"/>
    </row>
    <row r="1617" spans="20:21" x14ac:dyDescent="0.45">
      <c r="T1617" s="17"/>
      <c r="U1617" s="1"/>
    </row>
    <row r="1618" spans="20:21" x14ac:dyDescent="0.45">
      <c r="T1618" s="17"/>
      <c r="U1618" s="1"/>
    </row>
    <row r="1619" spans="20:21" x14ac:dyDescent="0.45">
      <c r="T1619" s="17"/>
      <c r="U1619" s="1"/>
    </row>
    <row r="1620" spans="20:21" x14ac:dyDescent="0.45">
      <c r="T1620" s="17"/>
      <c r="U1620" s="1"/>
    </row>
    <row r="1621" spans="20:21" x14ac:dyDescent="0.45">
      <c r="T1621" s="17"/>
      <c r="U1621" s="1"/>
    </row>
    <row r="1622" spans="20:21" x14ac:dyDescent="0.45">
      <c r="T1622" s="17"/>
      <c r="U1622" s="1"/>
    </row>
    <row r="1623" spans="20:21" x14ac:dyDescent="0.45">
      <c r="T1623" s="17"/>
      <c r="U1623" s="1"/>
    </row>
    <row r="1624" spans="20:21" x14ac:dyDescent="0.45">
      <c r="T1624" s="17"/>
      <c r="U1624" s="1"/>
    </row>
    <row r="1625" spans="20:21" x14ac:dyDescent="0.45">
      <c r="T1625" s="17"/>
      <c r="U1625" s="1"/>
    </row>
    <row r="1626" spans="20:21" x14ac:dyDescent="0.45">
      <c r="T1626" s="17"/>
      <c r="U1626" s="1"/>
    </row>
    <row r="1627" spans="20:21" x14ac:dyDescent="0.45">
      <c r="T1627" s="17"/>
      <c r="U1627" s="1"/>
    </row>
    <row r="1628" spans="20:21" x14ac:dyDescent="0.45">
      <c r="T1628" s="17"/>
      <c r="U1628" s="1"/>
    </row>
    <row r="1629" spans="20:21" x14ac:dyDescent="0.45">
      <c r="T1629" s="17"/>
      <c r="U1629" s="1"/>
    </row>
    <row r="1630" spans="20:21" x14ac:dyDescent="0.45">
      <c r="T1630" s="17"/>
      <c r="U1630" s="1"/>
    </row>
    <row r="1631" spans="20:21" x14ac:dyDescent="0.45">
      <c r="T1631" s="17"/>
      <c r="U1631" s="1"/>
    </row>
    <row r="1632" spans="20:21" x14ac:dyDescent="0.45">
      <c r="T1632" s="17"/>
      <c r="U1632" s="1"/>
    </row>
    <row r="1633" spans="20:21" x14ac:dyDescent="0.45">
      <c r="T1633" s="17"/>
      <c r="U1633" s="1"/>
    </row>
    <row r="1634" spans="20:21" x14ac:dyDescent="0.45">
      <c r="T1634" s="17"/>
      <c r="U1634" s="1"/>
    </row>
    <row r="1635" spans="20:21" x14ac:dyDescent="0.45">
      <c r="T1635" s="17"/>
      <c r="U1635" s="1"/>
    </row>
    <row r="1636" spans="20:21" x14ac:dyDescent="0.45">
      <c r="T1636" s="17"/>
      <c r="U1636" s="1"/>
    </row>
    <row r="1637" spans="20:21" x14ac:dyDescent="0.45">
      <c r="T1637" s="17"/>
      <c r="U1637" s="1"/>
    </row>
    <row r="1638" spans="20:21" x14ac:dyDescent="0.45">
      <c r="T1638" s="17"/>
      <c r="U1638" s="1"/>
    </row>
    <row r="1639" spans="20:21" x14ac:dyDescent="0.45">
      <c r="T1639" s="17"/>
      <c r="U1639" s="1"/>
    </row>
    <row r="1640" spans="20:21" x14ac:dyDescent="0.45">
      <c r="T1640" s="17"/>
      <c r="U1640" s="1"/>
    </row>
    <row r="1641" spans="20:21" x14ac:dyDescent="0.45">
      <c r="T1641" s="17"/>
      <c r="U1641" s="1"/>
    </row>
    <row r="1642" spans="20:21" x14ac:dyDescent="0.45">
      <c r="T1642" s="17"/>
      <c r="U1642" s="1"/>
    </row>
    <row r="1643" spans="20:21" x14ac:dyDescent="0.45">
      <c r="T1643" s="17"/>
      <c r="U1643" s="1"/>
    </row>
    <row r="1644" spans="20:21" x14ac:dyDescent="0.45">
      <c r="T1644" s="17"/>
      <c r="U1644" s="1"/>
    </row>
    <row r="1645" spans="20:21" x14ac:dyDescent="0.45">
      <c r="T1645" s="17"/>
      <c r="U1645" s="1"/>
    </row>
    <row r="1646" spans="20:21" x14ac:dyDescent="0.45">
      <c r="T1646" s="17"/>
      <c r="U1646" s="1"/>
    </row>
    <row r="1647" spans="20:21" x14ac:dyDescent="0.45">
      <c r="T1647" s="17"/>
      <c r="U1647" s="1"/>
    </row>
    <row r="1648" spans="20:21" x14ac:dyDescent="0.45">
      <c r="T1648" s="17"/>
      <c r="U1648" s="1"/>
    </row>
    <row r="1649" spans="20:21" x14ac:dyDescent="0.45">
      <c r="T1649" s="17"/>
      <c r="U1649" s="1"/>
    </row>
    <row r="1650" spans="20:21" x14ac:dyDescent="0.45">
      <c r="T1650" s="17"/>
      <c r="U1650" s="1"/>
    </row>
    <row r="1651" spans="20:21" x14ac:dyDescent="0.45">
      <c r="T1651" s="17"/>
      <c r="U1651" s="1"/>
    </row>
    <row r="1652" spans="20:21" x14ac:dyDescent="0.45">
      <c r="T1652" s="17"/>
      <c r="U1652" s="1"/>
    </row>
    <row r="1653" spans="20:21" x14ac:dyDescent="0.45">
      <c r="T1653" s="17"/>
      <c r="U1653" s="1"/>
    </row>
    <row r="1654" spans="20:21" x14ac:dyDescent="0.45">
      <c r="T1654" s="17"/>
      <c r="U1654" s="1"/>
    </row>
    <row r="1655" spans="20:21" x14ac:dyDescent="0.45">
      <c r="T1655" s="17"/>
      <c r="U1655" s="1"/>
    </row>
    <row r="1656" spans="20:21" x14ac:dyDescent="0.45">
      <c r="T1656" s="17"/>
      <c r="U1656" s="1"/>
    </row>
    <row r="1657" spans="20:21" x14ac:dyDescent="0.45">
      <c r="T1657" s="17"/>
      <c r="U1657" s="1"/>
    </row>
    <row r="1658" spans="20:21" x14ac:dyDescent="0.45">
      <c r="T1658" s="17"/>
      <c r="U1658" s="1"/>
    </row>
    <row r="1659" spans="20:21" x14ac:dyDescent="0.45">
      <c r="T1659" s="17"/>
      <c r="U1659" s="1"/>
    </row>
    <row r="1660" spans="20:21" x14ac:dyDescent="0.45">
      <c r="T1660" s="17"/>
      <c r="U1660" s="1"/>
    </row>
    <row r="1661" spans="20:21" x14ac:dyDescent="0.45">
      <c r="T1661" s="17"/>
      <c r="U1661" s="1"/>
    </row>
    <row r="1662" spans="20:21" x14ac:dyDescent="0.45">
      <c r="T1662" s="17"/>
      <c r="U1662" s="1"/>
    </row>
    <row r="1663" spans="20:21" x14ac:dyDescent="0.45">
      <c r="T1663" s="17"/>
      <c r="U1663" s="1"/>
    </row>
    <row r="1664" spans="20:21" x14ac:dyDescent="0.45">
      <c r="T1664" s="17"/>
      <c r="U1664" s="1"/>
    </row>
    <row r="1665" spans="20:21" x14ac:dyDescent="0.45">
      <c r="T1665" s="17"/>
      <c r="U1665" s="1"/>
    </row>
    <row r="1666" spans="20:21" x14ac:dyDescent="0.45">
      <c r="T1666" s="17"/>
      <c r="U1666" s="1"/>
    </row>
    <row r="1667" spans="20:21" x14ac:dyDescent="0.45">
      <c r="T1667" s="17"/>
      <c r="U1667" s="1"/>
    </row>
    <row r="1668" spans="20:21" x14ac:dyDescent="0.45">
      <c r="T1668" s="17"/>
      <c r="U1668" s="1"/>
    </row>
    <row r="1669" spans="20:21" x14ac:dyDescent="0.45">
      <c r="T1669" s="17"/>
      <c r="U1669" s="1"/>
    </row>
    <row r="1670" spans="20:21" x14ac:dyDescent="0.45">
      <c r="T1670" s="17"/>
      <c r="U1670" s="1"/>
    </row>
    <row r="1671" spans="20:21" x14ac:dyDescent="0.45">
      <c r="T1671" s="17"/>
      <c r="U1671" s="1"/>
    </row>
    <row r="1672" spans="20:21" x14ac:dyDescent="0.45">
      <c r="T1672" s="17"/>
      <c r="U1672" s="1"/>
    </row>
    <row r="1673" spans="20:21" x14ac:dyDescent="0.45">
      <c r="T1673" s="17"/>
      <c r="U1673" s="1"/>
    </row>
    <row r="1674" spans="20:21" x14ac:dyDescent="0.45">
      <c r="T1674" s="17"/>
      <c r="U1674" s="1"/>
    </row>
    <row r="1675" spans="20:21" x14ac:dyDescent="0.45">
      <c r="T1675" s="17"/>
      <c r="U1675" s="1"/>
    </row>
    <row r="1676" spans="20:21" x14ac:dyDescent="0.45">
      <c r="T1676" s="17"/>
      <c r="U1676" s="1"/>
    </row>
    <row r="1677" spans="20:21" x14ac:dyDescent="0.45">
      <c r="T1677" s="17"/>
      <c r="U1677" s="1"/>
    </row>
    <row r="1678" spans="20:21" x14ac:dyDescent="0.45">
      <c r="T1678" s="17"/>
      <c r="U1678" s="1"/>
    </row>
    <row r="1679" spans="20:21" x14ac:dyDescent="0.45">
      <c r="T1679" s="17"/>
      <c r="U1679" s="1"/>
    </row>
    <row r="1680" spans="20:21" x14ac:dyDescent="0.45">
      <c r="T1680" s="17"/>
      <c r="U1680" s="1"/>
    </row>
    <row r="1681" spans="20:21" x14ac:dyDescent="0.45">
      <c r="T1681" s="17"/>
      <c r="U1681" s="1"/>
    </row>
    <row r="1682" spans="20:21" x14ac:dyDescent="0.45">
      <c r="T1682" s="17"/>
      <c r="U1682" s="1"/>
    </row>
    <row r="1683" spans="20:21" x14ac:dyDescent="0.45">
      <c r="T1683" s="17"/>
      <c r="U1683" s="1"/>
    </row>
    <row r="1684" spans="20:21" x14ac:dyDescent="0.45">
      <c r="T1684" s="17"/>
      <c r="U1684" s="1"/>
    </row>
    <row r="1685" spans="20:21" x14ac:dyDescent="0.45">
      <c r="T1685" s="17"/>
      <c r="U1685" s="1"/>
    </row>
    <row r="1686" spans="20:21" x14ac:dyDescent="0.45">
      <c r="T1686" s="17"/>
      <c r="U1686" s="1"/>
    </row>
    <row r="1687" spans="20:21" x14ac:dyDescent="0.45">
      <c r="T1687" s="17"/>
      <c r="U1687" s="1"/>
    </row>
    <row r="1688" spans="20:21" x14ac:dyDescent="0.45">
      <c r="T1688" s="17"/>
      <c r="U1688" s="1"/>
    </row>
    <row r="1689" spans="20:21" x14ac:dyDescent="0.45">
      <c r="T1689" s="17"/>
      <c r="U1689" s="1"/>
    </row>
    <row r="1690" spans="20:21" x14ac:dyDescent="0.45">
      <c r="T1690" s="17"/>
      <c r="U1690" s="1"/>
    </row>
    <row r="1691" spans="20:21" x14ac:dyDescent="0.45">
      <c r="T1691" s="17"/>
      <c r="U1691" s="1"/>
    </row>
    <row r="1692" spans="20:21" x14ac:dyDescent="0.45">
      <c r="T1692" s="17"/>
      <c r="U1692" s="1"/>
    </row>
    <row r="1693" spans="20:21" x14ac:dyDescent="0.45">
      <c r="T1693" s="17"/>
      <c r="U1693" s="1"/>
    </row>
    <row r="1694" spans="20:21" x14ac:dyDescent="0.45">
      <c r="T1694" s="17"/>
      <c r="U1694" s="1"/>
    </row>
    <row r="1695" spans="20:21" x14ac:dyDescent="0.45">
      <c r="T1695" s="17"/>
      <c r="U1695" s="1"/>
    </row>
    <row r="1696" spans="20:21" x14ac:dyDescent="0.45">
      <c r="T1696" s="17"/>
      <c r="U1696" s="1"/>
    </row>
    <row r="1697" spans="20:21" x14ac:dyDescent="0.45">
      <c r="T1697" s="17"/>
      <c r="U1697" s="1"/>
    </row>
    <row r="1698" spans="20:21" x14ac:dyDescent="0.45">
      <c r="T1698" s="17"/>
      <c r="U1698" s="1"/>
    </row>
    <row r="1699" spans="20:21" x14ac:dyDescent="0.45">
      <c r="T1699" s="17"/>
      <c r="U1699" s="1"/>
    </row>
    <row r="1700" spans="20:21" x14ac:dyDescent="0.45">
      <c r="T1700" s="17"/>
      <c r="U1700" s="1"/>
    </row>
    <row r="1701" spans="20:21" x14ac:dyDescent="0.45">
      <c r="T1701" s="17"/>
      <c r="U1701" s="1"/>
    </row>
    <row r="1702" spans="20:21" x14ac:dyDescent="0.45">
      <c r="T1702" s="17"/>
      <c r="U1702" s="1"/>
    </row>
    <row r="1703" spans="20:21" x14ac:dyDescent="0.45">
      <c r="T1703" s="17"/>
      <c r="U1703" s="1"/>
    </row>
    <row r="1704" spans="20:21" x14ac:dyDescent="0.45">
      <c r="T1704" s="17"/>
      <c r="U1704" s="1"/>
    </row>
    <row r="1705" spans="20:21" x14ac:dyDescent="0.45">
      <c r="T1705" s="17"/>
      <c r="U1705" s="1"/>
    </row>
    <row r="1706" spans="20:21" x14ac:dyDescent="0.45">
      <c r="T1706" s="17"/>
      <c r="U1706" s="1"/>
    </row>
    <row r="1707" spans="20:21" x14ac:dyDescent="0.45">
      <c r="T1707" s="17"/>
      <c r="U1707" s="1"/>
    </row>
    <row r="1708" spans="20:21" x14ac:dyDescent="0.45">
      <c r="T1708" s="17"/>
      <c r="U1708" s="1"/>
    </row>
    <row r="1709" spans="20:21" x14ac:dyDescent="0.45">
      <c r="T1709" s="17"/>
      <c r="U1709" s="1"/>
    </row>
    <row r="1710" spans="20:21" x14ac:dyDescent="0.45">
      <c r="T1710" s="17"/>
      <c r="U1710" s="1"/>
    </row>
    <row r="1711" spans="20:21" x14ac:dyDescent="0.45">
      <c r="T1711" s="17"/>
      <c r="U1711" s="1"/>
    </row>
    <row r="1712" spans="20:21" x14ac:dyDescent="0.45">
      <c r="T1712" s="17"/>
      <c r="U1712" s="1"/>
    </row>
    <row r="1713" spans="20:21" x14ac:dyDescent="0.45">
      <c r="T1713" s="17"/>
      <c r="U1713" s="1"/>
    </row>
    <row r="1714" spans="20:21" x14ac:dyDescent="0.45">
      <c r="T1714" s="17"/>
      <c r="U1714" s="1"/>
    </row>
    <row r="1715" spans="20:21" x14ac:dyDescent="0.45">
      <c r="T1715" s="17"/>
      <c r="U1715" s="1"/>
    </row>
    <row r="1716" spans="20:21" x14ac:dyDescent="0.45">
      <c r="T1716" s="17"/>
      <c r="U1716" s="1"/>
    </row>
    <row r="1717" spans="20:21" x14ac:dyDescent="0.45">
      <c r="T1717" s="17"/>
      <c r="U1717" s="1"/>
    </row>
    <row r="1718" spans="20:21" x14ac:dyDescent="0.45">
      <c r="T1718" s="17"/>
      <c r="U1718" s="1"/>
    </row>
    <row r="1719" spans="20:21" x14ac:dyDescent="0.45">
      <c r="T1719" s="17"/>
      <c r="U1719" s="1"/>
    </row>
    <row r="1720" spans="20:21" x14ac:dyDescent="0.45">
      <c r="T1720" s="17"/>
      <c r="U1720" s="1"/>
    </row>
    <row r="1721" spans="20:21" x14ac:dyDescent="0.45">
      <c r="T1721" s="17"/>
      <c r="U1721" s="1"/>
    </row>
    <row r="1722" spans="20:21" x14ac:dyDescent="0.45">
      <c r="T1722" s="17"/>
      <c r="U1722" s="1"/>
    </row>
    <row r="1723" spans="20:21" x14ac:dyDescent="0.45">
      <c r="T1723" s="17"/>
      <c r="U1723" s="1"/>
    </row>
    <row r="1724" spans="20:21" x14ac:dyDescent="0.45">
      <c r="T1724" s="17"/>
      <c r="U1724" s="1"/>
    </row>
    <row r="1725" spans="20:21" x14ac:dyDescent="0.45">
      <c r="T1725" s="17"/>
      <c r="U1725" s="1"/>
    </row>
    <row r="1726" spans="20:21" x14ac:dyDescent="0.45">
      <c r="T1726" s="17"/>
      <c r="U1726" s="1"/>
    </row>
    <row r="1727" spans="20:21" x14ac:dyDescent="0.45">
      <c r="T1727" s="17"/>
      <c r="U1727" s="1"/>
    </row>
    <row r="1728" spans="20:21" x14ac:dyDescent="0.45">
      <c r="T1728" s="17"/>
      <c r="U1728" s="1"/>
    </row>
    <row r="1729" spans="20:21" x14ac:dyDescent="0.45">
      <c r="T1729" s="17"/>
      <c r="U1729" s="1"/>
    </row>
    <row r="1730" spans="20:21" x14ac:dyDescent="0.45">
      <c r="T1730" s="17"/>
      <c r="U1730" s="1"/>
    </row>
    <row r="1731" spans="20:21" x14ac:dyDescent="0.45">
      <c r="T1731" s="17"/>
      <c r="U1731" s="1"/>
    </row>
    <row r="1732" spans="20:21" x14ac:dyDescent="0.45">
      <c r="T1732" s="17"/>
      <c r="U1732" s="1"/>
    </row>
    <row r="1733" spans="20:21" x14ac:dyDescent="0.45">
      <c r="T1733" s="17"/>
      <c r="U1733" s="1"/>
    </row>
    <row r="1734" spans="20:21" x14ac:dyDescent="0.45">
      <c r="T1734" s="17"/>
      <c r="U1734" s="1"/>
    </row>
    <row r="1735" spans="20:21" x14ac:dyDescent="0.45">
      <c r="T1735" s="17"/>
      <c r="U1735" s="1"/>
    </row>
    <row r="1736" spans="20:21" x14ac:dyDescent="0.45">
      <c r="T1736" s="17"/>
      <c r="U1736" s="1"/>
    </row>
    <row r="1737" spans="20:21" x14ac:dyDescent="0.45">
      <c r="T1737" s="17"/>
      <c r="U1737" s="1"/>
    </row>
    <row r="1738" spans="20:21" x14ac:dyDescent="0.45">
      <c r="T1738" s="17"/>
      <c r="U1738" s="1"/>
    </row>
    <row r="1739" spans="20:21" x14ac:dyDescent="0.45">
      <c r="T1739" s="17"/>
      <c r="U1739" s="1"/>
    </row>
    <row r="1740" spans="20:21" x14ac:dyDescent="0.45">
      <c r="T1740" s="17"/>
      <c r="U1740" s="1"/>
    </row>
    <row r="1741" spans="20:21" x14ac:dyDescent="0.45">
      <c r="T1741" s="17"/>
      <c r="U1741" s="1"/>
    </row>
    <row r="1742" spans="20:21" x14ac:dyDescent="0.45">
      <c r="T1742" s="17"/>
      <c r="U1742" s="1"/>
    </row>
    <row r="1743" spans="20:21" x14ac:dyDescent="0.45">
      <c r="T1743" s="17"/>
      <c r="U1743" s="1"/>
    </row>
    <row r="1744" spans="20:21" x14ac:dyDescent="0.45">
      <c r="T1744" s="17"/>
      <c r="U1744" s="1"/>
    </row>
    <row r="1745" spans="20:21" x14ac:dyDescent="0.45">
      <c r="T1745" s="17"/>
      <c r="U1745" s="1"/>
    </row>
    <row r="1746" spans="20:21" x14ac:dyDescent="0.45">
      <c r="T1746" s="17"/>
      <c r="U1746" s="1"/>
    </row>
    <row r="1747" spans="20:21" x14ac:dyDescent="0.45">
      <c r="T1747" s="17"/>
      <c r="U1747" s="1"/>
    </row>
    <row r="1748" spans="20:21" x14ac:dyDescent="0.45">
      <c r="T1748" s="17"/>
      <c r="U1748" s="1"/>
    </row>
    <row r="1749" spans="20:21" x14ac:dyDescent="0.45">
      <c r="T1749" s="17"/>
      <c r="U1749" s="1"/>
    </row>
    <row r="1750" spans="20:21" x14ac:dyDescent="0.45">
      <c r="T1750" s="17"/>
      <c r="U1750" s="1"/>
    </row>
    <row r="1751" spans="20:21" x14ac:dyDescent="0.45">
      <c r="T1751" s="17"/>
      <c r="U1751" s="1"/>
    </row>
    <row r="1752" spans="20:21" x14ac:dyDescent="0.45">
      <c r="T1752" s="17"/>
      <c r="U1752" s="1"/>
    </row>
    <row r="1753" spans="20:21" x14ac:dyDescent="0.45">
      <c r="T1753" s="17"/>
      <c r="U1753" s="1"/>
    </row>
    <row r="1754" spans="20:21" x14ac:dyDescent="0.45">
      <c r="T1754" s="17"/>
      <c r="U1754" s="1"/>
    </row>
    <row r="1755" spans="20:21" x14ac:dyDescent="0.45">
      <c r="T1755" s="17"/>
      <c r="U1755" s="1"/>
    </row>
    <row r="1756" spans="20:21" x14ac:dyDescent="0.45">
      <c r="T1756" s="17"/>
      <c r="U1756" s="1"/>
    </row>
    <row r="1757" spans="20:21" x14ac:dyDescent="0.45">
      <c r="T1757" s="17"/>
      <c r="U1757" s="1"/>
    </row>
    <row r="1758" spans="20:21" x14ac:dyDescent="0.45">
      <c r="T1758" s="17"/>
      <c r="U1758" s="1"/>
    </row>
    <row r="1759" spans="20:21" x14ac:dyDescent="0.45">
      <c r="T1759" s="17"/>
      <c r="U1759" s="1"/>
    </row>
    <row r="1760" spans="20:21" x14ac:dyDescent="0.45">
      <c r="T1760" s="17"/>
      <c r="U1760" s="1"/>
    </row>
    <row r="1761" spans="20:21" x14ac:dyDescent="0.45">
      <c r="T1761" s="17"/>
      <c r="U1761" s="1"/>
    </row>
    <row r="1762" spans="20:21" x14ac:dyDescent="0.45">
      <c r="T1762" s="17"/>
      <c r="U1762" s="1"/>
    </row>
    <row r="1763" spans="20:21" x14ac:dyDescent="0.45">
      <c r="T1763" s="17"/>
      <c r="U1763" s="1"/>
    </row>
    <row r="1764" spans="20:21" x14ac:dyDescent="0.45">
      <c r="T1764" s="17"/>
      <c r="U1764" s="1"/>
    </row>
    <row r="1765" spans="20:21" x14ac:dyDescent="0.45">
      <c r="T1765" s="17"/>
      <c r="U1765" s="1"/>
    </row>
    <row r="1766" spans="20:21" x14ac:dyDescent="0.45">
      <c r="T1766" s="17"/>
      <c r="U1766" s="1"/>
    </row>
    <row r="1767" spans="20:21" x14ac:dyDescent="0.45">
      <c r="T1767" s="17"/>
      <c r="U1767" s="1"/>
    </row>
    <row r="1768" spans="20:21" x14ac:dyDescent="0.45">
      <c r="T1768" s="17"/>
      <c r="U1768" s="1"/>
    </row>
    <row r="1769" spans="20:21" x14ac:dyDescent="0.45">
      <c r="T1769" s="17"/>
      <c r="U1769" s="1"/>
    </row>
    <row r="1770" spans="20:21" x14ac:dyDescent="0.45">
      <c r="T1770" s="17"/>
      <c r="U1770" s="1"/>
    </row>
    <row r="1771" spans="20:21" x14ac:dyDescent="0.45">
      <c r="T1771" s="17"/>
      <c r="U1771" s="1"/>
    </row>
    <row r="1772" spans="20:21" x14ac:dyDescent="0.45">
      <c r="T1772" s="17"/>
      <c r="U1772" s="1"/>
    </row>
    <row r="1773" spans="20:21" x14ac:dyDescent="0.45">
      <c r="T1773" s="17"/>
      <c r="U1773" s="1"/>
    </row>
    <row r="1774" spans="20:21" x14ac:dyDescent="0.45">
      <c r="T1774" s="17"/>
      <c r="U1774" s="1"/>
    </row>
    <row r="1775" spans="20:21" x14ac:dyDescent="0.45">
      <c r="T1775" s="17"/>
      <c r="U1775" s="1"/>
    </row>
    <row r="1776" spans="20:21" x14ac:dyDescent="0.45">
      <c r="T1776" s="17"/>
      <c r="U1776" s="1"/>
    </row>
    <row r="1777" spans="20:21" x14ac:dyDescent="0.45">
      <c r="T1777" s="17"/>
      <c r="U1777" s="1"/>
    </row>
    <row r="1778" spans="20:21" x14ac:dyDescent="0.45">
      <c r="T1778" s="17"/>
      <c r="U1778" s="1"/>
    </row>
    <row r="1779" spans="20:21" x14ac:dyDescent="0.45">
      <c r="T1779" s="17"/>
      <c r="U1779" s="1"/>
    </row>
    <row r="1780" spans="20:21" x14ac:dyDescent="0.45">
      <c r="T1780" s="17"/>
      <c r="U1780" s="1"/>
    </row>
    <row r="1781" spans="20:21" x14ac:dyDescent="0.45">
      <c r="T1781" s="17"/>
      <c r="U1781" s="1"/>
    </row>
    <row r="1782" spans="20:21" x14ac:dyDescent="0.45">
      <c r="T1782" s="17"/>
      <c r="U1782" s="1"/>
    </row>
    <row r="1783" spans="20:21" x14ac:dyDescent="0.45">
      <c r="T1783" s="17"/>
      <c r="U1783" s="1"/>
    </row>
    <row r="1784" spans="20:21" x14ac:dyDescent="0.45">
      <c r="T1784" s="17"/>
      <c r="U1784" s="1"/>
    </row>
    <row r="1785" spans="20:21" x14ac:dyDescent="0.45">
      <c r="T1785" s="17"/>
      <c r="U1785" s="1"/>
    </row>
    <row r="1786" spans="20:21" x14ac:dyDescent="0.45">
      <c r="T1786" s="17"/>
      <c r="U1786" s="1"/>
    </row>
    <row r="1787" spans="20:21" x14ac:dyDescent="0.45">
      <c r="T1787" s="17"/>
      <c r="U1787" s="1"/>
    </row>
    <row r="1788" spans="20:21" x14ac:dyDescent="0.45">
      <c r="T1788" s="17"/>
      <c r="U1788" s="1"/>
    </row>
    <row r="1789" spans="20:21" x14ac:dyDescent="0.45">
      <c r="T1789" s="17"/>
      <c r="U1789" s="1"/>
    </row>
    <row r="1790" spans="20:21" x14ac:dyDescent="0.45">
      <c r="T1790" s="17"/>
      <c r="U1790" s="1"/>
    </row>
    <row r="1791" spans="20:21" x14ac:dyDescent="0.45">
      <c r="T1791" s="17"/>
      <c r="U1791" s="1"/>
    </row>
    <row r="1792" spans="20:21" x14ac:dyDescent="0.45">
      <c r="T1792" s="17"/>
      <c r="U1792" s="1"/>
    </row>
    <row r="1793" spans="20:21" x14ac:dyDescent="0.45">
      <c r="T1793" s="17"/>
      <c r="U1793" s="1"/>
    </row>
    <row r="1794" spans="20:21" x14ac:dyDescent="0.45">
      <c r="T1794" s="17"/>
      <c r="U1794" s="1"/>
    </row>
    <row r="1795" spans="20:21" x14ac:dyDescent="0.45">
      <c r="T1795" s="17"/>
      <c r="U1795" s="1"/>
    </row>
    <row r="1796" spans="20:21" x14ac:dyDescent="0.45">
      <c r="T1796" s="17"/>
      <c r="U1796" s="1"/>
    </row>
    <row r="1797" spans="20:21" x14ac:dyDescent="0.45">
      <c r="T1797" s="17"/>
      <c r="U1797" s="1"/>
    </row>
    <row r="1798" spans="20:21" x14ac:dyDescent="0.45">
      <c r="T1798" s="17"/>
      <c r="U1798" s="1"/>
    </row>
    <row r="1799" spans="20:21" x14ac:dyDescent="0.45">
      <c r="T1799" s="17"/>
      <c r="U1799" s="1"/>
    </row>
    <row r="1800" spans="20:21" x14ac:dyDescent="0.45">
      <c r="T1800" s="17"/>
      <c r="U1800" s="1"/>
    </row>
    <row r="1801" spans="20:21" x14ac:dyDescent="0.45">
      <c r="T1801" s="17"/>
      <c r="U1801" s="1"/>
    </row>
    <row r="1802" spans="20:21" x14ac:dyDescent="0.45">
      <c r="T1802" s="17"/>
      <c r="U1802" s="1"/>
    </row>
    <row r="1803" spans="20:21" x14ac:dyDescent="0.45">
      <c r="T1803" s="17"/>
      <c r="U1803" s="1"/>
    </row>
    <row r="1804" spans="20:21" x14ac:dyDescent="0.45">
      <c r="T1804" s="17"/>
      <c r="U1804" s="1"/>
    </row>
    <row r="1805" spans="20:21" x14ac:dyDescent="0.45">
      <c r="T1805" s="17"/>
      <c r="U1805" s="1"/>
    </row>
    <row r="1806" spans="20:21" x14ac:dyDescent="0.45">
      <c r="T1806" s="17"/>
      <c r="U1806" s="1"/>
    </row>
    <row r="1807" spans="20:21" x14ac:dyDescent="0.45">
      <c r="T1807" s="17"/>
      <c r="U1807" s="1"/>
    </row>
    <row r="1808" spans="20:21" x14ac:dyDescent="0.45">
      <c r="T1808" s="17"/>
      <c r="U1808" s="1"/>
    </row>
    <row r="1809" spans="20:21" x14ac:dyDescent="0.45">
      <c r="T1809" s="17"/>
      <c r="U1809" s="1"/>
    </row>
    <row r="1810" spans="20:21" x14ac:dyDescent="0.45">
      <c r="T1810" s="17"/>
      <c r="U1810" s="1"/>
    </row>
    <row r="1811" spans="20:21" x14ac:dyDescent="0.45">
      <c r="T1811" s="17"/>
      <c r="U1811" s="1"/>
    </row>
    <row r="1812" spans="20:21" x14ac:dyDescent="0.45">
      <c r="T1812" s="17"/>
      <c r="U1812" s="1"/>
    </row>
    <row r="1813" spans="20:21" x14ac:dyDescent="0.45">
      <c r="T1813" s="17"/>
      <c r="U1813" s="1"/>
    </row>
    <row r="1814" spans="20:21" x14ac:dyDescent="0.45">
      <c r="T1814" s="17"/>
      <c r="U1814" s="1"/>
    </row>
    <row r="1815" spans="20:21" x14ac:dyDescent="0.45">
      <c r="T1815" s="17"/>
      <c r="U1815" s="1"/>
    </row>
    <row r="1816" spans="20:21" x14ac:dyDescent="0.45">
      <c r="T1816" s="17"/>
      <c r="U1816" s="1"/>
    </row>
    <row r="1817" spans="20:21" x14ac:dyDescent="0.45">
      <c r="T1817" s="17"/>
      <c r="U1817" s="1"/>
    </row>
    <row r="1818" spans="20:21" x14ac:dyDescent="0.45">
      <c r="T1818" s="17"/>
      <c r="U1818" s="1"/>
    </row>
    <row r="1819" spans="20:21" x14ac:dyDescent="0.45">
      <c r="T1819" s="17"/>
      <c r="U1819" s="1"/>
    </row>
    <row r="1820" spans="20:21" x14ac:dyDescent="0.45">
      <c r="T1820" s="17"/>
      <c r="U1820" s="1"/>
    </row>
    <row r="1821" spans="20:21" x14ac:dyDescent="0.45">
      <c r="T1821" s="17"/>
      <c r="U1821" s="1"/>
    </row>
    <row r="1822" spans="20:21" x14ac:dyDescent="0.45">
      <c r="T1822" s="17"/>
      <c r="U1822" s="1"/>
    </row>
    <row r="1823" spans="20:21" x14ac:dyDescent="0.45">
      <c r="T1823" s="17"/>
      <c r="U1823" s="1"/>
    </row>
    <row r="1824" spans="20:21" x14ac:dyDescent="0.45">
      <c r="T1824" s="17"/>
      <c r="U1824" s="1"/>
    </row>
    <row r="1825" spans="20:21" x14ac:dyDescent="0.45">
      <c r="T1825" s="17"/>
      <c r="U1825" s="1"/>
    </row>
    <row r="1826" spans="20:21" x14ac:dyDescent="0.45">
      <c r="T1826" s="17"/>
      <c r="U1826" s="1"/>
    </row>
    <row r="1827" spans="20:21" x14ac:dyDescent="0.45">
      <c r="T1827" s="17"/>
      <c r="U1827" s="1"/>
    </row>
    <row r="1828" spans="20:21" x14ac:dyDescent="0.45">
      <c r="T1828" s="17"/>
      <c r="U1828" s="1"/>
    </row>
    <row r="1829" spans="20:21" x14ac:dyDescent="0.45">
      <c r="T1829" s="17"/>
      <c r="U1829" s="1"/>
    </row>
    <row r="1830" spans="20:21" x14ac:dyDescent="0.45">
      <c r="T1830" s="17"/>
      <c r="U1830" s="1"/>
    </row>
    <row r="1831" spans="20:21" x14ac:dyDescent="0.45">
      <c r="T1831" s="17"/>
      <c r="U1831" s="1"/>
    </row>
    <row r="1832" spans="20:21" x14ac:dyDescent="0.45">
      <c r="T1832" s="17"/>
      <c r="U1832" s="1"/>
    </row>
    <row r="1833" spans="20:21" x14ac:dyDescent="0.45">
      <c r="T1833" s="17"/>
      <c r="U1833" s="1"/>
    </row>
    <row r="1834" spans="20:21" x14ac:dyDescent="0.45">
      <c r="T1834" s="17"/>
      <c r="U1834" s="1"/>
    </row>
    <row r="1835" spans="20:21" x14ac:dyDescent="0.45">
      <c r="T1835" s="17"/>
      <c r="U1835" s="1"/>
    </row>
    <row r="1836" spans="20:21" x14ac:dyDescent="0.45">
      <c r="T1836" s="17"/>
      <c r="U1836" s="1"/>
    </row>
    <row r="1837" spans="20:21" x14ac:dyDescent="0.45">
      <c r="T1837" s="17"/>
      <c r="U1837" s="1"/>
    </row>
    <row r="1838" spans="20:21" x14ac:dyDescent="0.45">
      <c r="T1838" s="17"/>
      <c r="U1838" s="1"/>
    </row>
    <row r="1839" spans="20:21" x14ac:dyDescent="0.45">
      <c r="T1839" s="17"/>
      <c r="U1839" s="1"/>
    </row>
    <row r="1840" spans="20:21" x14ac:dyDescent="0.45">
      <c r="T1840" s="17"/>
      <c r="U1840" s="1"/>
    </row>
    <row r="1841" spans="20:21" x14ac:dyDescent="0.45">
      <c r="T1841" s="17"/>
      <c r="U1841" s="1"/>
    </row>
    <row r="1842" spans="20:21" x14ac:dyDescent="0.45">
      <c r="T1842" s="17"/>
      <c r="U1842" s="1"/>
    </row>
    <row r="1843" spans="20:21" x14ac:dyDescent="0.45">
      <c r="T1843" s="17"/>
      <c r="U1843" s="1"/>
    </row>
    <row r="1844" spans="20:21" x14ac:dyDescent="0.45">
      <c r="T1844" s="17"/>
      <c r="U1844" s="1"/>
    </row>
    <row r="1845" spans="20:21" x14ac:dyDescent="0.45">
      <c r="T1845" s="17"/>
      <c r="U1845" s="1"/>
    </row>
    <row r="1846" spans="20:21" x14ac:dyDescent="0.45">
      <c r="T1846" s="17"/>
      <c r="U1846" s="1"/>
    </row>
    <row r="1847" spans="20:21" x14ac:dyDescent="0.45">
      <c r="T1847" s="17"/>
      <c r="U1847" s="1"/>
    </row>
    <row r="1848" spans="20:21" x14ac:dyDescent="0.45">
      <c r="T1848" s="17"/>
      <c r="U1848" s="1"/>
    </row>
    <row r="1849" spans="20:21" x14ac:dyDescent="0.45">
      <c r="T1849" s="17"/>
      <c r="U1849" s="1"/>
    </row>
    <row r="1850" spans="20:21" x14ac:dyDescent="0.45">
      <c r="T1850" s="17"/>
      <c r="U1850" s="1"/>
    </row>
    <row r="1851" spans="20:21" x14ac:dyDescent="0.45">
      <c r="T1851" s="17"/>
      <c r="U1851" s="1"/>
    </row>
    <row r="1852" spans="20:21" x14ac:dyDescent="0.45">
      <c r="T1852" s="17"/>
      <c r="U1852" s="1"/>
    </row>
    <row r="1853" spans="20:21" x14ac:dyDescent="0.45">
      <c r="T1853" s="17"/>
      <c r="U1853" s="1"/>
    </row>
    <row r="1854" spans="20:21" x14ac:dyDescent="0.45">
      <c r="T1854" s="17"/>
      <c r="U1854" s="1"/>
    </row>
    <row r="1855" spans="20:21" x14ac:dyDescent="0.45">
      <c r="T1855" s="17"/>
      <c r="U1855" s="1"/>
    </row>
    <row r="1856" spans="20:21" x14ac:dyDescent="0.45">
      <c r="T1856" s="17"/>
      <c r="U1856" s="1"/>
    </row>
    <row r="1857" spans="20:21" x14ac:dyDescent="0.45">
      <c r="T1857" s="17"/>
      <c r="U1857" s="1"/>
    </row>
    <row r="1858" spans="20:21" x14ac:dyDescent="0.45">
      <c r="T1858" s="17"/>
      <c r="U1858" s="1"/>
    </row>
    <row r="1859" spans="20:21" x14ac:dyDescent="0.45">
      <c r="T1859" s="17"/>
      <c r="U1859" s="1"/>
    </row>
    <row r="1860" spans="20:21" x14ac:dyDescent="0.45">
      <c r="T1860" s="17"/>
      <c r="U1860" s="1"/>
    </row>
    <row r="1861" spans="20:21" x14ac:dyDescent="0.45">
      <c r="T1861" s="17"/>
      <c r="U1861" s="1"/>
    </row>
    <row r="1862" spans="20:21" x14ac:dyDescent="0.45">
      <c r="T1862" s="17"/>
      <c r="U1862" s="1"/>
    </row>
    <row r="1863" spans="20:21" x14ac:dyDescent="0.45">
      <c r="T1863" s="17"/>
      <c r="U1863" s="1"/>
    </row>
    <row r="1864" spans="20:21" x14ac:dyDescent="0.45">
      <c r="T1864" s="17"/>
      <c r="U1864" s="1"/>
    </row>
    <row r="1865" spans="20:21" x14ac:dyDescent="0.45">
      <c r="T1865" s="17"/>
      <c r="U1865" s="1"/>
    </row>
    <row r="1866" spans="20:21" x14ac:dyDescent="0.45">
      <c r="T1866" s="17"/>
      <c r="U1866" s="1"/>
    </row>
    <row r="1867" spans="20:21" x14ac:dyDescent="0.45">
      <c r="T1867" s="17"/>
      <c r="U1867" s="1"/>
    </row>
    <row r="1868" spans="20:21" x14ac:dyDescent="0.45">
      <c r="T1868" s="17"/>
      <c r="U1868" s="1"/>
    </row>
    <row r="1869" spans="20:21" x14ac:dyDescent="0.45">
      <c r="T1869" s="17"/>
      <c r="U1869" s="1"/>
    </row>
    <row r="1870" spans="20:21" x14ac:dyDescent="0.45">
      <c r="T1870" s="17"/>
      <c r="U1870" s="1"/>
    </row>
    <row r="1871" spans="20:21" x14ac:dyDescent="0.45">
      <c r="T1871" s="17"/>
      <c r="U1871" s="1"/>
    </row>
    <row r="1872" spans="20:21" x14ac:dyDescent="0.45">
      <c r="T1872" s="17"/>
      <c r="U1872" s="1"/>
    </row>
    <row r="1873" spans="20:21" x14ac:dyDescent="0.45">
      <c r="T1873" s="17"/>
      <c r="U1873" s="1"/>
    </row>
    <row r="1874" spans="20:21" x14ac:dyDescent="0.45">
      <c r="T1874" s="17"/>
      <c r="U1874" s="1"/>
    </row>
    <row r="1875" spans="20:21" x14ac:dyDescent="0.45">
      <c r="T1875" s="17"/>
      <c r="U1875" s="1"/>
    </row>
    <row r="1876" spans="20:21" x14ac:dyDescent="0.45">
      <c r="T1876" s="17"/>
      <c r="U1876" s="1"/>
    </row>
    <row r="1877" spans="20:21" x14ac:dyDescent="0.45">
      <c r="T1877" s="17"/>
      <c r="U1877" s="1"/>
    </row>
    <row r="1878" spans="20:21" x14ac:dyDescent="0.45">
      <c r="T1878" s="17"/>
      <c r="U1878" s="1"/>
    </row>
    <row r="1879" spans="20:21" x14ac:dyDescent="0.45">
      <c r="T1879" s="17"/>
      <c r="U1879" s="1"/>
    </row>
    <row r="1880" spans="20:21" x14ac:dyDescent="0.45">
      <c r="T1880" s="17"/>
      <c r="U1880" s="1"/>
    </row>
    <row r="1881" spans="20:21" x14ac:dyDescent="0.45">
      <c r="T1881" s="17"/>
      <c r="U1881" s="1"/>
    </row>
    <row r="1882" spans="20:21" x14ac:dyDescent="0.45">
      <c r="T1882" s="17"/>
      <c r="U1882" s="1"/>
    </row>
    <row r="1883" spans="20:21" x14ac:dyDescent="0.45">
      <c r="T1883" s="17"/>
      <c r="U1883" s="1"/>
    </row>
    <row r="1884" spans="20:21" x14ac:dyDescent="0.45">
      <c r="T1884" s="17"/>
      <c r="U1884" s="1"/>
    </row>
    <row r="1885" spans="20:21" x14ac:dyDescent="0.45">
      <c r="T1885" s="17"/>
      <c r="U1885" s="1"/>
    </row>
    <row r="1886" spans="20:21" x14ac:dyDescent="0.45">
      <c r="T1886" s="17"/>
      <c r="U1886" s="1"/>
    </row>
    <row r="1887" spans="20:21" x14ac:dyDescent="0.45">
      <c r="T1887" s="17"/>
      <c r="U1887" s="1"/>
    </row>
    <row r="1888" spans="20:21" x14ac:dyDescent="0.45">
      <c r="T1888" s="17"/>
      <c r="U1888" s="1"/>
    </row>
    <row r="1889" spans="20:21" x14ac:dyDescent="0.45">
      <c r="T1889" s="17"/>
      <c r="U1889" s="1"/>
    </row>
    <row r="1890" spans="20:21" x14ac:dyDescent="0.45">
      <c r="T1890" s="17"/>
      <c r="U1890" s="1"/>
    </row>
    <row r="1891" spans="20:21" x14ac:dyDescent="0.45">
      <c r="T1891" s="17"/>
      <c r="U1891" s="1"/>
    </row>
    <row r="1892" spans="20:21" x14ac:dyDescent="0.45">
      <c r="T1892" s="17"/>
      <c r="U1892" s="1"/>
    </row>
    <row r="1893" spans="20:21" x14ac:dyDescent="0.45">
      <c r="T1893" s="17"/>
      <c r="U1893" s="1"/>
    </row>
    <row r="1894" spans="20:21" x14ac:dyDescent="0.45">
      <c r="T1894" s="17"/>
      <c r="U1894" s="1"/>
    </row>
    <row r="1895" spans="20:21" x14ac:dyDescent="0.45">
      <c r="T1895" s="17"/>
      <c r="U1895" s="1"/>
    </row>
    <row r="1896" spans="20:21" x14ac:dyDescent="0.45">
      <c r="T1896" s="17"/>
      <c r="U1896" s="1"/>
    </row>
    <row r="1897" spans="20:21" x14ac:dyDescent="0.45">
      <c r="T1897" s="17"/>
      <c r="U1897" s="1"/>
    </row>
    <row r="1898" spans="20:21" x14ac:dyDescent="0.45">
      <c r="T1898" s="17"/>
      <c r="U1898" s="1"/>
    </row>
    <row r="1899" spans="20:21" x14ac:dyDescent="0.45">
      <c r="T1899" s="17"/>
      <c r="U1899" s="1"/>
    </row>
    <row r="1900" spans="20:21" x14ac:dyDescent="0.45">
      <c r="T1900" s="17"/>
      <c r="U1900" s="1"/>
    </row>
    <row r="1901" spans="20:21" x14ac:dyDescent="0.45">
      <c r="T1901" s="17"/>
      <c r="U1901" s="1"/>
    </row>
    <row r="1902" spans="20:21" x14ac:dyDescent="0.45">
      <c r="T1902" s="17"/>
      <c r="U1902" s="1"/>
    </row>
    <row r="1903" spans="20:21" x14ac:dyDescent="0.45">
      <c r="T1903" s="17"/>
      <c r="U1903" s="1"/>
    </row>
    <row r="1904" spans="20:21" x14ac:dyDescent="0.45">
      <c r="T1904" s="17"/>
      <c r="U1904" s="1"/>
    </row>
    <row r="1905" spans="20:21" x14ac:dyDescent="0.45">
      <c r="T1905" s="17"/>
      <c r="U1905" s="1"/>
    </row>
    <row r="1906" spans="20:21" x14ac:dyDescent="0.45">
      <c r="T1906" s="17"/>
      <c r="U1906" s="1"/>
    </row>
    <row r="1907" spans="20:21" x14ac:dyDescent="0.45">
      <c r="T1907" s="17"/>
      <c r="U1907" s="1"/>
    </row>
    <row r="1908" spans="20:21" x14ac:dyDescent="0.45">
      <c r="T1908" s="17"/>
      <c r="U1908" s="1"/>
    </row>
    <row r="1909" spans="20:21" x14ac:dyDescent="0.45">
      <c r="T1909" s="17"/>
      <c r="U1909" s="1"/>
    </row>
    <row r="1910" spans="20:21" x14ac:dyDescent="0.45">
      <c r="T1910" s="17"/>
      <c r="U1910" s="1"/>
    </row>
    <row r="1911" spans="20:21" x14ac:dyDescent="0.45">
      <c r="T1911" s="17"/>
      <c r="U1911" s="1"/>
    </row>
    <row r="1912" spans="20:21" x14ac:dyDescent="0.45">
      <c r="T1912" s="17"/>
      <c r="U1912" s="1"/>
    </row>
    <row r="1913" spans="20:21" x14ac:dyDescent="0.45">
      <c r="T1913" s="17"/>
      <c r="U1913" s="1"/>
    </row>
    <row r="1914" spans="20:21" x14ac:dyDescent="0.45">
      <c r="T1914" s="17"/>
      <c r="U1914" s="1"/>
    </row>
    <row r="1915" spans="20:21" x14ac:dyDescent="0.45">
      <c r="T1915" s="17"/>
      <c r="U1915" s="1"/>
    </row>
    <row r="1916" spans="20:21" x14ac:dyDescent="0.45">
      <c r="T1916" s="17"/>
      <c r="U1916" s="1"/>
    </row>
    <row r="1917" spans="20:21" x14ac:dyDescent="0.45">
      <c r="T1917" s="17"/>
      <c r="U1917" s="1"/>
    </row>
    <row r="1918" spans="20:21" x14ac:dyDescent="0.45">
      <c r="T1918" s="17"/>
      <c r="U1918" s="1"/>
    </row>
    <row r="1919" spans="20:21" x14ac:dyDescent="0.45">
      <c r="T1919" s="17"/>
      <c r="U1919" s="1"/>
    </row>
    <row r="1920" spans="20:21" x14ac:dyDescent="0.45">
      <c r="T1920" s="17"/>
      <c r="U1920" s="1"/>
    </row>
    <row r="1921" spans="20:21" x14ac:dyDescent="0.45">
      <c r="T1921" s="17"/>
      <c r="U1921" s="1"/>
    </row>
    <row r="1922" spans="20:21" x14ac:dyDescent="0.45">
      <c r="T1922" s="17"/>
      <c r="U1922" s="1"/>
    </row>
    <row r="1923" spans="20:21" x14ac:dyDescent="0.45">
      <c r="T1923" s="17"/>
      <c r="U1923" s="1"/>
    </row>
    <row r="1924" spans="20:21" x14ac:dyDescent="0.45">
      <c r="T1924" s="17"/>
      <c r="U1924" s="1"/>
    </row>
    <row r="1925" spans="20:21" x14ac:dyDescent="0.45">
      <c r="T1925" s="17"/>
      <c r="U1925" s="1"/>
    </row>
    <row r="1926" spans="20:21" x14ac:dyDescent="0.45">
      <c r="T1926" s="17"/>
      <c r="U1926" s="1"/>
    </row>
    <row r="1927" spans="20:21" x14ac:dyDescent="0.45">
      <c r="T1927" s="17"/>
      <c r="U1927" s="1"/>
    </row>
    <row r="1928" spans="20:21" x14ac:dyDescent="0.45">
      <c r="T1928" s="17"/>
      <c r="U1928" s="1"/>
    </row>
    <row r="1929" spans="20:21" x14ac:dyDescent="0.45">
      <c r="T1929" s="17"/>
      <c r="U1929" s="1"/>
    </row>
    <row r="1930" spans="20:21" x14ac:dyDescent="0.45">
      <c r="T1930" s="17"/>
      <c r="U1930" s="1"/>
    </row>
    <row r="1931" spans="20:21" x14ac:dyDescent="0.45">
      <c r="T1931" s="17"/>
      <c r="U1931" s="1"/>
    </row>
    <row r="1932" spans="20:21" x14ac:dyDescent="0.45">
      <c r="T1932" s="17"/>
      <c r="U1932" s="1"/>
    </row>
    <row r="1933" spans="20:21" x14ac:dyDescent="0.45">
      <c r="T1933" s="17"/>
      <c r="U1933" s="1"/>
    </row>
    <row r="1934" spans="20:21" x14ac:dyDescent="0.45">
      <c r="T1934" s="17"/>
      <c r="U1934" s="1"/>
    </row>
    <row r="1935" spans="20:21" x14ac:dyDescent="0.45">
      <c r="T1935" s="17"/>
      <c r="U1935" s="1"/>
    </row>
    <row r="1936" spans="20:21" x14ac:dyDescent="0.45">
      <c r="T1936" s="17"/>
      <c r="U1936" s="1"/>
    </row>
    <row r="1937" spans="20:21" x14ac:dyDescent="0.45">
      <c r="T1937" s="17"/>
      <c r="U1937" s="1"/>
    </row>
    <row r="1938" spans="20:21" x14ac:dyDescent="0.45">
      <c r="T1938" s="17"/>
      <c r="U1938" s="1"/>
    </row>
    <row r="1939" spans="20:21" x14ac:dyDescent="0.45">
      <c r="T1939" s="17"/>
      <c r="U1939" s="1"/>
    </row>
    <row r="1940" spans="20:21" x14ac:dyDescent="0.45">
      <c r="T1940" s="17"/>
      <c r="U1940" s="1"/>
    </row>
    <row r="1941" spans="20:21" x14ac:dyDescent="0.45">
      <c r="T1941" s="17"/>
      <c r="U1941" s="1"/>
    </row>
    <row r="1942" spans="20:21" x14ac:dyDescent="0.45">
      <c r="T1942" s="17"/>
      <c r="U1942" s="1"/>
    </row>
    <row r="1943" spans="20:21" x14ac:dyDescent="0.45">
      <c r="T1943" s="17"/>
      <c r="U1943" s="1"/>
    </row>
    <row r="1944" spans="20:21" x14ac:dyDescent="0.45">
      <c r="T1944" s="17"/>
      <c r="U1944" s="1"/>
    </row>
    <row r="1945" spans="20:21" x14ac:dyDescent="0.45">
      <c r="T1945" s="17"/>
      <c r="U1945" s="1"/>
    </row>
    <row r="1946" spans="20:21" x14ac:dyDescent="0.45">
      <c r="T1946" s="17"/>
      <c r="U1946" s="1"/>
    </row>
    <row r="1947" spans="20:21" x14ac:dyDescent="0.45">
      <c r="T1947" s="17"/>
      <c r="U1947" s="1"/>
    </row>
    <row r="1948" spans="20:21" x14ac:dyDescent="0.45">
      <c r="T1948" s="17"/>
      <c r="U1948" s="1"/>
    </row>
    <row r="1949" spans="20:21" x14ac:dyDescent="0.45">
      <c r="T1949" s="17"/>
      <c r="U1949" s="1"/>
    </row>
    <row r="1950" spans="20:21" x14ac:dyDescent="0.45">
      <c r="T1950" s="17"/>
      <c r="U1950" s="1"/>
    </row>
    <row r="1951" spans="20:21" x14ac:dyDescent="0.45">
      <c r="T1951" s="17"/>
      <c r="U1951" s="1"/>
    </row>
    <row r="1952" spans="20:21" x14ac:dyDescent="0.45">
      <c r="T1952" s="17"/>
      <c r="U1952" s="1"/>
    </row>
    <row r="1953" spans="20:21" x14ac:dyDescent="0.45">
      <c r="T1953" s="17"/>
      <c r="U1953" s="1"/>
    </row>
    <row r="1954" spans="20:21" x14ac:dyDescent="0.45">
      <c r="T1954" s="17"/>
      <c r="U1954" s="1"/>
    </row>
    <row r="1955" spans="20:21" x14ac:dyDescent="0.45">
      <c r="T1955" s="17"/>
      <c r="U1955" s="1"/>
    </row>
    <row r="1956" spans="20:21" x14ac:dyDescent="0.45">
      <c r="T1956" s="17"/>
      <c r="U1956" s="1"/>
    </row>
    <row r="1957" spans="20:21" x14ac:dyDescent="0.45">
      <c r="T1957" s="17"/>
      <c r="U1957" s="1"/>
    </row>
    <row r="1958" spans="20:21" x14ac:dyDescent="0.45">
      <c r="T1958" s="17"/>
      <c r="U1958" s="1"/>
    </row>
    <row r="1959" spans="20:21" x14ac:dyDescent="0.45">
      <c r="T1959" s="17"/>
      <c r="U1959" s="1"/>
    </row>
    <row r="1960" spans="20:21" x14ac:dyDescent="0.45">
      <c r="T1960" s="17"/>
      <c r="U1960" s="1"/>
    </row>
    <row r="1961" spans="20:21" x14ac:dyDescent="0.45">
      <c r="T1961" s="17"/>
      <c r="U1961" s="1"/>
    </row>
    <row r="1962" spans="20:21" x14ac:dyDescent="0.45">
      <c r="T1962" s="17"/>
      <c r="U1962" s="1"/>
    </row>
    <row r="1963" spans="20:21" x14ac:dyDescent="0.45">
      <c r="T1963" s="17"/>
      <c r="U1963" s="1"/>
    </row>
    <row r="1964" spans="20:21" x14ac:dyDescent="0.45">
      <c r="T1964" s="17"/>
      <c r="U1964" s="1"/>
    </row>
    <row r="1965" spans="20:21" x14ac:dyDescent="0.45">
      <c r="T1965" s="17"/>
      <c r="U1965" s="1"/>
    </row>
    <row r="1966" spans="20:21" x14ac:dyDescent="0.45">
      <c r="T1966" s="17"/>
      <c r="U1966" s="1"/>
    </row>
    <row r="1967" spans="20:21" x14ac:dyDescent="0.45">
      <c r="T1967" s="17"/>
      <c r="U1967" s="1"/>
    </row>
    <row r="1968" spans="20:21" x14ac:dyDescent="0.45">
      <c r="T1968" s="17"/>
      <c r="U1968" s="1"/>
    </row>
    <row r="1969" spans="20:21" x14ac:dyDescent="0.45">
      <c r="T1969" s="17"/>
      <c r="U1969" s="1"/>
    </row>
    <row r="1970" spans="20:21" x14ac:dyDescent="0.45">
      <c r="T1970" s="17"/>
      <c r="U1970" s="1"/>
    </row>
    <row r="1971" spans="20:21" x14ac:dyDescent="0.45">
      <c r="T1971" s="17"/>
      <c r="U1971" s="1"/>
    </row>
    <row r="1972" spans="20:21" x14ac:dyDescent="0.45">
      <c r="T1972" s="17"/>
      <c r="U1972" s="1"/>
    </row>
    <row r="1973" spans="20:21" x14ac:dyDescent="0.45">
      <c r="T1973" s="17"/>
      <c r="U1973" s="1"/>
    </row>
    <row r="1974" spans="20:21" x14ac:dyDescent="0.45">
      <c r="T1974" s="17"/>
      <c r="U1974" s="1"/>
    </row>
    <row r="1975" spans="20:21" x14ac:dyDescent="0.45">
      <c r="T1975" s="17"/>
      <c r="U1975" s="1"/>
    </row>
    <row r="1976" spans="20:21" x14ac:dyDescent="0.45">
      <c r="T1976" s="17"/>
      <c r="U1976" s="1"/>
    </row>
    <row r="1977" spans="20:21" x14ac:dyDescent="0.45">
      <c r="T1977" s="17"/>
      <c r="U1977" s="1"/>
    </row>
    <row r="1978" spans="20:21" x14ac:dyDescent="0.45">
      <c r="T1978" s="17"/>
      <c r="U1978" s="1"/>
    </row>
    <row r="1979" spans="20:21" x14ac:dyDescent="0.45">
      <c r="T1979" s="17"/>
      <c r="U1979" s="1"/>
    </row>
    <row r="1980" spans="20:21" x14ac:dyDescent="0.45">
      <c r="T1980" s="17"/>
      <c r="U1980" s="1"/>
    </row>
    <row r="1981" spans="20:21" x14ac:dyDescent="0.45">
      <c r="T1981" s="17"/>
      <c r="U1981" s="1"/>
    </row>
    <row r="1982" spans="20:21" x14ac:dyDescent="0.45">
      <c r="T1982" s="17"/>
      <c r="U1982" s="1"/>
    </row>
    <row r="1983" spans="20:21" x14ac:dyDescent="0.45">
      <c r="T1983" s="17"/>
      <c r="U1983" s="1"/>
    </row>
    <row r="1984" spans="20:21" x14ac:dyDescent="0.45">
      <c r="T1984" s="17"/>
      <c r="U1984" s="1"/>
    </row>
    <row r="1985" spans="20:21" x14ac:dyDescent="0.45">
      <c r="T1985" s="17"/>
      <c r="U1985" s="1"/>
    </row>
    <row r="1986" spans="20:21" x14ac:dyDescent="0.45">
      <c r="T1986" s="17"/>
      <c r="U1986" s="1"/>
    </row>
    <row r="1987" spans="20:21" x14ac:dyDescent="0.45">
      <c r="T1987" s="17"/>
      <c r="U1987" s="1"/>
    </row>
    <row r="1988" spans="20:21" x14ac:dyDescent="0.45">
      <c r="T1988" s="17"/>
      <c r="U1988" s="1"/>
    </row>
    <row r="1989" spans="20:21" x14ac:dyDescent="0.45">
      <c r="T1989" s="17"/>
      <c r="U1989" s="1"/>
    </row>
    <row r="1990" spans="20:21" x14ac:dyDescent="0.45">
      <c r="T1990" s="17"/>
      <c r="U1990" s="1"/>
    </row>
    <row r="1991" spans="20:21" x14ac:dyDescent="0.45">
      <c r="T1991" s="17"/>
      <c r="U1991" s="1"/>
    </row>
    <row r="1992" spans="20:21" x14ac:dyDescent="0.45">
      <c r="T1992" s="17"/>
      <c r="U1992" s="1"/>
    </row>
    <row r="1993" spans="20:21" x14ac:dyDescent="0.45">
      <c r="T1993" s="17"/>
      <c r="U1993" s="1"/>
    </row>
    <row r="1994" spans="20:21" x14ac:dyDescent="0.45">
      <c r="T1994" s="17"/>
      <c r="U1994" s="1"/>
    </row>
    <row r="1995" spans="20:21" x14ac:dyDescent="0.45">
      <c r="T1995" s="17"/>
      <c r="U1995" s="1"/>
    </row>
    <row r="1996" spans="20:21" x14ac:dyDescent="0.45">
      <c r="T1996" s="17"/>
      <c r="U1996" s="1"/>
    </row>
    <row r="1997" spans="20:21" x14ac:dyDescent="0.45">
      <c r="T1997" s="17"/>
      <c r="U1997" s="1"/>
    </row>
    <row r="1998" spans="20:21" x14ac:dyDescent="0.45">
      <c r="T1998" s="17"/>
      <c r="U1998" s="1"/>
    </row>
    <row r="1999" spans="20:21" x14ac:dyDescent="0.45">
      <c r="T1999" s="17"/>
      <c r="U1999" s="1"/>
    </row>
    <row r="2000" spans="20:21" x14ac:dyDescent="0.45">
      <c r="T2000" s="17"/>
      <c r="U2000" s="1"/>
    </row>
    <row r="2001" spans="20:21" x14ac:dyDescent="0.45">
      <c r="T2001" s="17"/>
      <c r="U2001" s="1"/>
    </row>
    <row r="2002" spans="20:21" x14ac:dyDescent="0.45">
      <c r="T2002" s="17"/>
      <c r="U2002" s="1"/>
    </row>
    <row r="2003" spans="20:21" x14ac:dyDescent="0.45">
      <c r="T2003" s="17"/>
      <c r="U2003" s="1"/>
    </row>
    <row r="2004" spans="20:21" x14ac:dyDescent="0.45">
      <c r="T2004" s="17"/>
      <c r="U2004" s="1"/>
    </row>
    <row r="2005" spans="20:21" x14ac:dyDescent="0.45">
      <c r="T2005" s="17"/>
      <c r="U2005" s="1"/>
    </row>
    <row r="2006" spans="20:21" x14ac:dyDescent="0.45">
      <c r="T2006" s="17"/>
      <c r="U2006" s="1"/>
    </row>
    <row r="2007" spans="20:21" x14ac:dyDescent="0.45">
      <c r="T2007" s="17"/>
      <c r="U2007" s="1"/>
    </row>
    <row r="2008" spans="20:21" x14ac:dyDescent="0.45">
      <c r="T2008" s="17"/>
      <c r="U2008" s="1"/>
    </row>
    <row r="2009" spans="20:21" x14ac:dyDescent="0.45">
      <c r="T2009" s="17"/>
      <c r="U2009" s="1"/>
    </row>
    <row r="2010" spans="20:21" x14ac:dyDescent="0.45">
      <c r="T2010" s="17"/>
      <c r="U2010" s="1"/>
    </row>
    <row r="2011" spans="20:21" x14ac:dyDescent="0.45">
      <c r="T2011" s="17"/>
      <c r="U2011" s="1"/>
    </row>
    <row r="2012" spans="20:21" x14ac:dyDescent="0.45">
      <c r="T2012" s="17"/>
      <c r="U2012" s="1"/>
    </row>
    <row r="2013" spans="20:21" x14ac:dyDescent="0.45">
      <c r="T2013" s="17"/>
      <c r="U2013" s="1"/>
    </row>
    <row r="2014" spans="20:21" x14ac:dyDescent="0.45">
      <c r="T2014" s="17"/>
      <c r="U2014" s="1"/>
    </row>
    <row r="2015" spans="20:21" x14ac:dyDescent="0.45">
      <c r="T2015" s="17"/>
      <c r="U2015" s="1"/>
    </row>
    <row r="2016" spans="20:21" x14ac:dyDescent="0.45">
      <c r="T2016" s="17"/>
      <c r="U2016" s="1"/>
    </row>
    <row r="2017" spans="20:21" x14ac:dyDescent="0.45">
      <c r="T2017" s="17"/>
      <c r="U2017" s="1"/>
    </row>
    <row r="2018" spans="20:21" x14ac:dyDescent="0.45">
      <c r="T2018" s="17"/>
      <c r="U2018" s="1"/>
    </row>
    <row r="2019" spans="20:21" x14ac:dyDescent="0.45">
      <c r="T2019" s="17"/>
      <c r="U2019" s="1"/>
    </row>
    <row r="2020" spans="20:21" x14ac:dyDescent="0.45">
      <c r="T2020" s="17"/>
      <c r="U2020" s="1"/>
    </row>
    <row r="2021" spans="20:21" x14ac:dyDescent="0.45">
      <c r="T2021" s="17"/>
      <c r="U2021" s="1"/>
    </row>
    <row r="2022" spans="20:21" x14ac:dyDescent="0.45">
      <c r="T2022" s="17"/>
      <c r="U2022" s="1"/>
    </row>
    <row r="2023" spans="20:21" x14ac:dyDescent="0.45">
      <c r="T2023" s="17"/>
      <c r="U2023" s="1"/>
    </row>
    <row r="2024" spans="20:21" x14ac:dyDescent="0.45">
      <c r="T2024" s="17"/>
      <c r="U2024" s="1"/>
    </row>
    <row r="2025" spans="20:21" x14ac:dyDescent="0.45">
      <c r="T2025" s="17"/>
      <c r="U2025" s="1"/>
    </row>
    <row r="2026" spans="20:21" x14ac:dyDescent="0.45">
      <c r="T2026" s="17"/>
      <c r="U2026" s="1"/>
    </row>
    <row r="2027" spans="20:21" x14ac:dyDescent="0.45">
      <c r="T2027" s="17"/>
      <c r="U2027" s="1"/>
    </row>
    <row r="2028" spans="20:21" x14ac:dyDescent="0.45">
      <c r="T2028" s="17"/>
      <c r="U2028" s="1"/>
    </row>
    <row r="2029" spans="20:21" x14ac:dyDescent="0.45">
      <c r="T2029" s="17"/>
      <c r="U2029" s="1"/>
    </row>
    <row r="2030" spans="20:21" x14ac:dyDescent="0.45">
      <c r="T2030" s="17"/>
      <c r="U2030" s="1"/>
    </row>
    <row r="2031" spans="20:21" x14ac:dyDescent="0.45">
      <c r="T2031" s="17"/>
      <c r="U2031" s="1"/>
    </row>
    <row r="2032" spans="20:21" x14ac:dyDescent="0.45">
      <c r="T2032" s="17"/>
      <c r="U2032" s="1"/>
    </row>
    <row r="2033" spans="20:21" x14ac:dyDescent="0.45">
      <c r="T2033" s="17"/>
      <c r="U2033" s="1"/>
    </row>
    <row r="2034" spans="20:21" x14ac:dyDescent="0.45">
      <c r="T2034" s="17"/>
      <c r="U2034" s="1"/>
    </row>
    <row r="2035" spans="20:21" x14ac:dyDescent="0.45">
      <c r="T2035" s="17"/>
      <c r="U2035" s="1"/>
    </row>
    <row r="2036" spans="20:21" x14ac:dyDescent="0.45">
      <c r="T2036" s="17"/>
      <c r="U2036" s="1"/>
    </row>
    <row r="2037" spans="20:21" x14ac:dyDescent="0.45">
      <c r="T2037" s="17"/>
      <c r="U2037" s="1"/>
    </row>
    <row r="2038" spans="20:21" x14ac:dyDescent="0.45">
      <c r="T2038" s="17"/>
      <c r="U2038" s="1"/>
    </row>
    <row r="2039" spans="20:21" x14ac:dyDescent="0.45">
      <c r="T2039" s="17"/>
      <c r="U2039" s="1"/>
    </row>
    <row r="2040" spans="20:21" x14ac:dyDescent="0.45">
      <c r="T2040" s="17"/>
      <c r="U2040" s="1"/>
    </row>
    <row r="2041" spans="20:21" x14ac:dyDescent="0.45">
      <c r="T2041" s="17"/>
      <c r="U2041" s="1"/>
    </row>
    <row r="2042" spans="20:21" x14ac:dyDescent="0.45">
      <c r="T2042" s="17"/>
      <c r="U2042" s="1"/>
    </row>
    <row r="2043" spans="20:21" x14ac:dyDescent="0.45">
      <c r="T2043" s="17"/>
      <c r="U2043" s="1"/>
    </row>
    <row r="2044" spans="20:21" x14ac:dyDescent="0.45">
      <c r="T2044" s="17"/>
      <c r="U2044" s="1"/>
    </row>
    <row r="2045" spans="20:21" x14ac:dyDescent="0.45">
      <c r="T2045" s="17"/>
      <c r="U2045" s="1"/>
    </row>
    <row r="2046" spans="20:21" x14ac:dyDescent="0.45">
      <c r="T2046" s="17"/>
      <c r="U2046" s="1"/>
    </row>
    <row r="2047" spans="20:21" x14ac:dyDescent="0.45">
      <c r="T2047" s="17"/>
      <c r="U2047" s="1"/>
    </row>
    <row r="2048" spans="20:21" x14ac:dyDescent="0.45">
      <c r="T2048" s="17"/>
      <c r="U2048" s="1"/>
    </row>
    <row r="2049" spans="20:21" x14ac:dyDescent="0.45">
      <c r="T2049" s="17"/>
      <c r="U2049" s="1"/>
    </row>
    <row r="2050" spans="20:21" x14ac:dyDescent="0.45">
      <c r="T2050" s="17"/>
      <c r="U2050" s="1"/>
    </row>
    <row r="2051" spans="20:21" x14ac:dyDescent="0.45">
      <c r="T2051" s="17"/>
      <c r="U2051" s="1"/>
    </row>
    <row r="2052" spans="20:21" x14ac:dyDescent="0.45">
      <c r="T2052" s="17"/>
      <c r="U2052" s="1"/>
    </row>
    <row r="2053" spans="20:21" x14ac:dyDescent="0.45">
      <c r="T2053" s="17"/>
      <c r="U2053" s="1"/>
    </row>
    <row r="2054" spans="20:21" x14ac:dyDescent="0.45">
      <c r="T2054" s="17"/>
      <c r="U2054" s="1"/>
    </row>
    <row r="2055" spans="20:21" x14ac:dyDescent="0.45">
      <c r="T2055" s="17"/>
      <c r="U2055" s="1"/>
    </row>
    <row r="2056" spans="20:21" x14ac:dyDescent="0.45">
      <c r="T2056" s="17"/>
      <c r="U2056" s="1"/>
    </row>
    <row r="2057" spans="20:21" x14ac:dyDescent="0.45">
      <c r="T2057" s="17"/>
      <c r="U2057" s="1"/>
    </row>
    <row r="2058" spans="20:21" x14ac:dyDescent="0.45">
      <c r="T2058" s="17"/>
      <c r="U2058" s="1"/>
    </row>
    <row r="2059" spans="20:21" x14ac:dyDescent="0.45">
      <c r="T2059" s="17"/>
      <c r="U2059" s="1"/>
    </row>
    <row r="2060" spans="20:21" x14ac:dyDescent="0.45">
      <c r="T2060" s="17"/>
      <c r="U2060" s="1"/>
    </row>
    <row r="2061" spans="20:21" x14ac:dyDescent="0.45">
      <c r="T2061" s="17"/>
      <c r="U2061" s="1"/>
    </row>
    <row r="2062" spans="20:21" x14ac:dyDescent="0.45">
      <c r="T2062" s="17"/>
      <c r="U2062" s="1"/>
    </row>
    <row r="2063" spans="20:21" x14ac:dyDescent="0.45">
      <c r="T2063" s="17"/>
      <c r="U2063" s="1"/>
    </row>
    <row r="2064" spans="20:21" x14ac:dyDescent="0.45">
      <c r="T2064" s="17"/>
      <c r="U2064" s="1"/>
    </row>
    <row r="2065" spans="20:21" x14ac:dyDescent="0.45">
      <c r="T2065" s="17"/>
      <c r="U2065" s="1"/>
    </row>
    <row r="2066" spans="20:21" x14ac:dyDescent="0.45">
      <c r="T2066" s="17"/>
      <c r="U2066" s="1"/>
    </row>
    <row r="2067" spans="20:21" x14ac:dyDescent="0.45">
      <c r="T2067" s="17"/>
      <c r="U2067" s="1"/>
    </row>
    <row r="2068" spans="20:21" x14ac:dyDescent="0.45">
      <c r="T2068" s="17"/>
      <c r="U2068" s="1"/>
    </row>
    <row r="2069" spans="20:21" x14ac:dyDescent="0.45">
      <c r="T2069" s="17"/>
      <c r="U2069" s="1"/>
    </row>
    <row r="2070" spans="20:21" x14ac:dyDescent="0.45">
      <c r="T2070" s="17"/>
      <c r="U2070" s="1"/>
    </row>
    <row r="2071" spans="20:21" x14ac:dyDescent="0.45">
      <c r="T2071" s="17"/>
      <c r="U2071" s="1"/>
    </row>
    <row r="2072" spans="20:21" x14ac:dyDescent="0.45">
      <c r="T2072" s="17"/>
      <c r="U2072" s="1"/>
    </row>
    <row r="2073" spans="20:21" x14ac:dyDescent="0.45">
      <c r="T2073" s="17"/>
      <c r="U2073" s="1"/>
    </row>
    <row r="2074" spans="20:21" x14ac:dyDescent="0.45">
      <c r="T2074" s="17"/>
      <c r="U2074" s="1"/>
    </row>
    <row r="2075" spans="20:21" x14ac:dyDescent="0.45">
      <c r="T2075" s="17"/>
      <c r="U2075" s="1"/>
    </row>
    <row r="2076" spans="20:21" x14ac:dyDescent="0.45">
      <c r="T2076" s="17"/>
      <c r="U2076" s="1"/>
    </row>
    <row r="2077" spans="20:21" x14ac:dyDescent="0.45">
      <c r="T2077" s="17"/>
      <c r="U2077" s="1"/>
    </row>
    <row r="2078" spans="20:21" x14ac:dyDescent="0.45">
      <c r="T2078" s="17"/>
      <c r="U2078" s="1"/>
    </row>
    <row r="2079" spans="20:21" x14ac:dyDescent="0.45">
      <c r="T2079" s="17"/>
      <c r="U2079" s="1"/>
    </row>
    <row r="2080" spans="20:21" x14ac:dyDescent="0.45">
      <c r="T2080" s="17"/>
      <c r="U2080" s="1"/>
    </row>
    <row r="2081" spans="20:21" x14ac:dyDescent="0.45">
      <c r="T2081" s="17"/>
      <c r="U2081" s="1"/>
    </row>
    <row r="2082" spans="20:21" x14ac:dyDescent="0.45">
      <c r="T2082" s="17"/>
      <c r="U2082" s="1"/>
    </row>
    <row r="2083" spans="20:21" x14ac:dyDescent="0.45">
      <c r="T2083" s="17"/>
      <c r="U2083" s="1"/>
    </row>
    <row r="2084" spans="20:21" x14ac:dyDescent="0.45">
      <c r="T2084" s="17"/>
      <c r="U2084" s="1"/>
    </row>
    <row r="2085" spans="20:21" x14ac:dyDescent="0.45">
      <c r="T2085" s="17"/>
      <c r="U2085" s="1"/>
    </row>
    <row r="2086" spans="20:21" x14ac:dyDescent="0.45">
      <c r="T2086" s="17"/>
      <c r="U2086" s="1"/>
    </row>
    <row r="2087" spans="20:21" x14ac:dyDescent="0.45">
      <c r="T2087" s="17"/>
      <c r="U2087" s="1"/>
    </row>
    <row r="2088" spans="20:21" x14ac:dyDescent="0.45">
      <c r="T2088" s="17"/>
      <c r="U2088" s="1"/>
    </row>
    <row r="2089" spans="20:21" x14ac:dyDescent="0.45">
      <c r="T2089" s="17"/>
      <c r="U2089" s="1"/>
    </row>
    <row r="2090" spans="20:21" x14ac:dyDescent="0.45">
      <c r="T2090" s="17"/>
      <c r="U2090" s="1"/>
    </row>
    <row r="2091" spans="20:21" x14ac:dyDescent="0.45">
      <c r="T2091" s="17"/>
      <c r="U2091" s="1"/>
    </row>
    <row r="2092" spans="20:21" x14ac:dyDescent="0.45">
      <c r="T2092" s="17"/>
      <c r="U2092" s="1"/>
    </row>
    <row r="2093" spans="20:21" x14ac:dyDescent="0.45">
      <c r="T2093" s="17"/>
      <c r="U2093" s="1"/>
    </row>
    <row r="2094" spans="20:21" x14ac:dyDescent="0.45">
      <c r="T2094" s="17"/>
      <c r="U2094" s="1"/>
    </row>
    <row r="2095" spans="20:21" x14ac:dyDescent="0.45">
      <c r="T2095" s="17"/>
      <c r="U2095" s="1"/>
    </row>
    <row r="2096" spans="20:21" x14ac:dyDescent="0.45">
      <c r="T2096" s="17"/>
      <c r="U2096" s="1"/>
    </row>
    <row r="2097" spans="20:21" x14ac:dyDescent="0.45">
      <c r="T2097" s="17"/>
      <c r="U2097" s="1"/>
    </row>
    <row r="2098" spans="20:21" x14ac:dyDescent="0.45">
      <c r="T2098" s="17"/>
      <c r="U2098" s="1"/>
    </row>
    <row r="2099" spans="20:21" x14ac:dyDescent="0.45">
      <c r="T2099" s="17"/>
      <c r="U2099" s="1"/>
    </row>
    <row r="2100" spans="20:21" x14ac:dyDescent="0.45">
      <c r="T2100" s="17"/>
      <c r="U2100" s="1"/>
    </row>
    <row r="2101" spans="20:21" x14ac:dyDescent="0.45">
      <c r="T2101" s="17"/>
      <c r="U2101" s="1"/>
    </row>
    <row r="2102" spans="20:21" x14ac:dyDescent="0.45">
      <c r="T2102" s="17"/>
      <c r="U2102" s="1"/>
    </row>
    <row r="2103" spans="20:21" x14ac:dyDescent="0.45">
      <c r="T2103" s="17"/>
      <c r="U2103" s="1"/>
    </row>
    <row r="2104" spans="20:21" x14ac:dyDescent="0.45">
      <c r="T2104" s="17"/>
      <c r="U2104" s="1"/>
    </row>
    <row r="2105" spans="20:21" x14ac:dyDescent="0.45">
      <c r="T2105" s="17"/>
      <c r="U2105" s="1"/>
    </row>
    <row r="2106" spans="20:21" x14ac:dyDescent="0.45">
      <c r="T2106" s="17"/>
      <c r="U2106" s="1"/>
    </row>
    <row r="2107" spans="20:21" x14ac:dyDescent="0.45">
      <c r="T2107" s="17"/>
      <c r="U2107" s="1"/>
    </row>
    <row r="2108" spans="20:21" x14ac:dyDescent="0.45">
      <c r="T2108" s="17"/>
      <c r="U2108" s="1"/>
    </row>
    <row r="2109" spans="20:21" x14ac:dyDescent="0.45">
      <c r="T2109" s="17"/>
      <c r="U2109" s="1"/>
    </row>
    <row r="2110" spans="20:21" x14ac:dyDescent="0.45">
      <c r="T2110" s="17"/>
      <c r="U2110" s="1"/>
    </row>
    <row r="2111" spans="20:21" x14ac:dyDescent="0.45">
      <c r="T2111" s="17"/>
      <c r="U2111" s="1"/>
    </row>
    <row r="2112" spans="20:21" x14ac:dyDescent="0.45">
      <c r="T2112" s="17"/>
      <c r="U2112" s="1"/>
    </row>
    <row r="2113" spans="20:21" x14ac:dyDescent="0.45">
      <c r="T2113" s="17"/>
      <c r="U2113" s="1"/>
    </row>
    <row r="2114" spans="20:21" x14ac:dyDescent="0.45">
      <c r="T2114" s="17"/>
      <c r="U2114" s="1"/>
    </row>
    <row r="2115" spans="20:21" x14ac:dyDescent="0.45">
      <c r="T2115" s="17"/>
      <c r="U2115" s="1"/>
    </row>
    <row r="2116" spans="20:21" x14ac:dyDescent="0.45">
      <c r="T2116" s="17"/>
      <c r="U2116" s="1"/>
    </row>
    <row r="2117" spans="20:21" x14ac:dyDescent="0.45">
      <c r="T2117" s="17"/>
      <c r="U2117" s="1"/>
    </row>
    <row r="2118" spans="20:21" x14ac:dyDescent="0.45">
      <c r="T2118" s="17"/>
      <c r="U2118" s="1"/>
    </row>
    <row r="2119" spans="20:21" x14ac:dyDescent="0.45">
      <c r="T2119" s="17"/>
      <c r="U2119" s="1"/>
    </row>
    <row r="2120" spans="20:21" x14ac:dyDescent="0.45">
      <c r="T2120" s="17"/>
      <c r="U2120" s="1"/>
    </row>
    <row r="2121" spans="20:21" x14ac:dyDescent="0.45">
      <c r="T2121" s="17"/>
      <c r="U2121" s="1"/>
    </row>
    <row r="2122" spans="20:21" x14ac:dyDescent="0.45">
      <c r="T2122" s="17"/>
      <c r="U2122" s="1"/>
    </row>
    <row r="2123" spans="20:21" x14ac:dyDescent="0.45">
      <c r="T2123" s="17"/>
      <c r="U2123" s="1"/>
    </row>
    <row r="2124" spans="20:21" x14ac:dyDescent="0.45">
      <c r="T2124" s="17"/>
      <c r="U2124" s="1"/>
    </row>
    <row r="2125" spans="20:21" x14ac:dyDescent="0.45">
      <c r="T2125" s="17"/>
      <c r="U2125" s="1"/>
    </row>
    <row r="2126" spans="20:21" x14ac:dyDescent="0.45">
      <c r="T2126" s="17"/>
      <c r="U2126" s="1"/>
    </row>
    <row r="2127" spans="20:21" x14ac:dyDescent="0.45">
      <c r="T2127" s="17"/>
      <c r="U2127" s="1"/>
    </row>
    <row r="2128" spans="20:21" x14ac:dyDescent="0.45">
      <c r="T2128" s="17"/>
      <c r="U2128" s="1"/>
    </row>
    <row r="2129" spans="20:21" x14ac:dyDescent="0.45">
      <c r="T2129" s="17"/>
      <c r="U2129" s="1"/>
    </row>
    <row r="2130" spans="20:21" x14ac:dyDescent="0.45">
      <c r="T2130" s="17"/>
      <c r="U2130" s="1"/>
    </row>
    <row r="2131" spans="20:21" x14ac:dyDescent="0.45">
      <c r="T2131" s="17"/>
      <c r="U2131" s="1"/>
    </row>
    <row r="2132" spans="20:21" x14ac:dyDescent="0.45">
      <c r="T2132" s="17"/>
      <c r="U2132" s="1"/>
    </row>
    <row r="2133" spans="20:21" x14ac:dyDescent="0.45">
      <c r="T2133" s="17"/>
      <c r="U2133" s="1"/>
    </row>
    <row r="2134" spans="20:21" x14ac:dyDescent="0.45">
      <c r="T2134" s="17"/>
      <c r="U2134" s="1"/>
    </row>
    <row r="2135" spans="20:21" x14ac:dyDescent="0.45">
      <c r="T2135" s="17"/>
      <c r="U2135" s="1"/>
    </row>
    <row r="2136" spans="20:21" x14ac:dyDescent="0.45">
      <c r="T2136" s="17"/>
      <c r="U2136" s="1"/>
    </row>
    <row r="2137" spans="20:21" x14ac:dyDescent="0.45">
      <c r="T2137" s="17"/>
      <c r="U2137" s="1"/>
    </row>
    <row r="2138" spans="20:21" x14ac:dyDescent="0.45">
      <c r="T2138" s="17"/>
      <c r="U2138" s="1"/>
    </row>
    <row r="2139" spans="20:21" x14ac:dyDescent="0.45">
      <c r="T2139" s="17"/>
      <c r="U2139" s="1"/>
    </row>
    <row r="2140" spans="20:21" x14ac:dyDescent="0.45">
      <c r="T2140" s="17"/>
      <c r="U2140" s="1"/>
    </row>
    <row r="2141" spans="20:21" x14ac:dyDescent="0.45">
      <c r="T2141" s="17"/>
      <c r="U2141" s="1"/>
    </row>
    <row r="2142" spans="20:21" x14ac:dyDescent="0.45">
      <c r="T2142" s="17"/>
      <c r="U2142" s="1"/>
    </row>
    <row r="2143" spans="20:21" x14ac:dyDescent="0.45">
      <c r="T2143" s="17"/>
      <c r="U2143" s="1"/>
    </row>
    <row r="2144" spans="20:21" x14ac:dyDescent="0.45">
      <c r="T2144" s="17"/>
      <c r="U2144" s="1"/>
    </row>
    <row r="2145" spans="20:21" x14ac:dyDescent="0.45">
      <c r="T2145" s="17"/>
      <c r="U2145" s="1"/>
    </row>
    <row r="2146" spans="20:21" x14ac:dyDescent="0.45">
      <c r="T2146" s="17"/>
      <c r="U2146" s="1"/>
    </row>
    <row r="2147" spans="20:21" x14ac:dyDescent="0.45">
      <c r="T2147" s="17"/>
      <c r="U2147" s="1"/>
    </row>
    <row r="2148" spans="20:21" x14ac:dyDescent="0.45">
      <c r="T2148" s="17"/>
      <c r="U2148" s="1"/>
    </row>
    <row r="2149" spans="20:21" x14ac:dyDescent="0.45">
      <c r="T2149" s="17"/>
      <c r="U2149" s="1"/>
    </row>
    <row r="2150" spans="20:21" x14ac:dyDescent="0.45">
      <c r="T2150" s="17"/>
      <c r="U2150" s="1"/>
    </row>
    <row r="2151" spans="20:21" x14ac:dyDescent="0.45">
      <c r="T2151" s="17"/>
      <c r="U2151" s="1"/>
    </row>
    <row r="2152" spans="20:21" x14ac:dyDescent="0.45">
      <c r="T2152" s="17"/>
      <c r="U2152" s="1"/>
    </row>
    <row r="2153" spans="20:21" x14ac:dyDescent="0.45">
      <c r="T2153" s="17"/>
      <c r="U2153" s="1"/>
    </row>
    <row r="2154" spans="20:21" x14ac:dyDescent="0.45">
      <c r="T2154" s="17"/>
      <c r="U2154" s="1"/>
    </row>
    <row r="2155" spans="20:21" x14ac:dyDescent="0.45">
      <c r="T2155" s="17"/>
      <c r="U2155" s="1"/>
    </row>
    <row r="2156" spans="20:21" x14ac:dyDescent="0.45">
      <c r="T2156" s="17"/>
      <c r="U2156" s="1"/>
    </row>
    <row r="2157" spans="20:21" x14ac:dyDescent="0.45">
      <c r="T2157" s="17"/>
      <c r="U2157" s="1"/>
    </row>
    <row r="2158" spans="20:21" x14ac:dyDescent="0.45">
      <c r="T2158" s="17"/>
      <c r="U2158" s="1"/>
    </row>
    <row r="2159" spans="20:21" x14ac:dyDescent="0.45">
      <c r="T2159" s="17"/>
      <c r="U2159" s="1"/>
    </row>
    <row r="2160" spans="20:21" x14ac:dyDescent="0.45">
      <c r="T2160" s="17"/>
      <c r="U2160" s="1"/>
    </row>
    <row r="2161" spans="20:21" x14ac:dyDescent="0.45">
      <c r="T2161" s="17"/>
      <c r="U2161" s="1"/>
    </row>
    <row r="2162" spans="20:21" x14ac:dyDescent="0.45">
      <c r="T2162" s="17"/>
      <c r="U2162" s="1"/>
    </row>
    <row r="2163" spans="20:21" x14ac:dyDescent="0.45">
      <c r="T2163" s="17"/>
      <c r="U2163" s="1"/>
    </row>
    <row r="2164" spans="20:21" x14ac:dyDescent="0.45">
      <c r="T2164" s="17"/>
      <c r="U2164" s="1"/>
    </row>
    <row r="2165" spans="20:21" x14ac:dyDescent="0.45">
      <c r="T2165" s="17"/>
      <c r="U2165" s="1"/>
    </row>
    <row r="2166" spans="20:21" x14ac:dyDescent="0.45">
      <c r="T2166" s="17"/>
      <c r="U2166" s="1"/>
    </row>
    <row r="2167" spans="20:21" x14ac:dyDescent="0.45">
      <c r="T2167" s="17"/>
      <c r="U2167" s="1"/>
    </row>
    <row r="2168" spans="20:21" x14ac:dyDescent="0.45">
      <c r="T2168" s="17"/>
      <c r="U2168" s="1"/>
    </row>
    <row r="2169" spans="20:21" x14ac:dyDescent="0.45">
      <c r="T2169" s="17"/>
      <c r="U2169" s="1"/>
    </row>
    <row r="2170" spans="20:21" x14ac:dyDescent="0.45">
      <c r="T2170" s="17"/>
      <c r="U2170" s="1"/>
    </row>
    <row r="2171" spans="20:21" x14ac:dyDescent="0.45">
      <c r="T2171" s="17"/>
      <c r="U2171" s="1"/>
    </row>
    <row r="2172" spans="20:21" x14ac:dyDescent="0.45">
      <c r="T2172" s="17"/>
      <c r="U2172" s="1"/>
    </row>
    <row r="2173" spans="20:21" x14ac:dyDescent="0.45">
      <c r="T2173" s="17"/>
      <c r="U2173" s="1"/>
    </row>
    <row r="2174" spans="20:21" x14ac:dyDescent="0.45">
      <c r="T2174" s="17"/>
      <c r="U2174" s="1"/>
    </row>
    <row r="2175" spans="20:21" x14ac:dyDescent="0.45">
      <c r="T2175" s="17"/>
      <c r="U2175" s="1"/>
    </row>
    <row r="2176" spans="20:21" x14ac:dyDescent="0.45">
      <c r="T2176" s="17"/>
      <c r="U2176" s="1"/>
    </row>
    <row r="2177" spans="20:21" x14ac:dyDescent="0.45">
      <c r="T2177" s="17"/>
      <c r="U2177" s="1"/>
    </row>
    <row r="2178" spans="20:21" x14ac:dyDescent="0.45">
      <c r="T2178" s="17"/>
      <c r="U2178" s="1"/>
    </row>
    <row r="2179" spans="20:21" x14ac:dyDescent="0.45">
      <c r="T2179" s="17"/>
      <c r="U2179" s="1"/>
    </row>
    <row r="2180" spans="20:21" x14ac:dyDescent="0.45">
      <c r="T2180" s="17"/>
      <c r="U2180" s="1"/>
    </row>
    <row r="2181" spans="20:21" x14ac:dyDescent="0.45">
      <c r="T2181" s="17"/>
      <c r="U2181" s="1"/>
    </row>
    <row r="2182" spans="20:21" x14ac:dyDescent="0.45">
      <c r="T2182" s="17"/>
      <c r="U2182" s="1"/>
    </row>
    <row r="2183" spans="20:21" x14ac:dyDescent="0.45">
      <c r="T2183" s="17"/>
      <c r="U2183" s="1"/>
    </row>
    <row r="2184" spans="20:21" x14ac:dyDescent="0.45">
      <c r="T2184" s="17"/>
      <c r="U2184" s="1"/>
    </row>
    <row r="2185" spans="20:21" x14ac:dyDescent="0.45">
      <c r="T2185" s="17"/>
      <c r="U2185" s="1"/>
    </row>
    <row r="2186" spans="20:21" x14ac:dyDescent="0.45">
      <c r="T2186" s="17"/>
      <c r="U2186" s="1"/>
    </row>
    <row r="2187" spans="20:21" x14ac:dyDescent="0.45">
      <c r="T2187" s="17"/>
      <c r="U2187" s="1"/>
    </row>
    <row r="2188" spans="20:21" x14ac:dyDescent="0.45">
      <c r="T2188" s="17"/>
      <c r="U2188" s="1"/>
    </row>
    <row r="2189" spans="20:21" x14ac:dyDescent="0.45">
      <c r="T2189" s="17"/>
      <c r="U2189" s="1"/>
    </row>
    <row r="2190" spans="20:21" x14ac:dyDescent="0.45">
      <c r="T2190" s="17"/>
      <c r="U2190" s="1"/>
    </row>
    <row r="2191" spans="20:21" x14ac:dyDescent="0.45">
      <c r="T2191" s="17"/>
      <c r="U2191" s="1"/>
    </row>
    <row r="2192" spans="20:21" x14ac:dyDescent="0.45">
      <c r="T2192" s="17"/>
      <c r="U2192" s="1"/>
    </row>
    <row r="2193" spans="20:21" x14ac:dyDescent="0.45">
      <c r="T2193" s="17"/>
      <c r="U2193" s="1"/>
    </row>
    <row r="2194" spans="20:21" x14ac:dyDescent="0.45">
      <c r="T2194" s="17"/>
      <c r="U2194" s="1"/>
    </row>
    <row r="2195" spans="20:21" x14ac:dyDescent="0.45">
      <c r="T2195" s="17"/>
      <c r="U2195" s="1"/>
    </row>
    <row r="2196" spans="20:21" x14ac:dyDescent="0.45">
      <c r="T2196" s="17"/>
      <c r="U2196" s="1"/>
    </row>
    <row r="2197" spans="20:21" x14ac:dyDescent="0.45">
      <c r="T2197" s="17"/>
      <c r="U2197" s="1"/>
    </row>
    <row r="2198" spans="20:21" x14ac:dyDescent="0.45">
      <c r="T2198" s="17"/>
      <c r="U2198" s="1"/>
    </row>
    <row r="2199" spans="20:21" x14ac:dyDescent="0.45">
      <c r="T2199" s="17"/>
      <c r="U2199" s="1"/>
    </row>
    <row r="2200" spans="20:21" x14ac:dyDescent="0.45">
      <c r="T2200" s="17"/>
      <c r="U2200" s="1"/>
    </row>
    <row r="2201" spans="20:21" x14ac:dyDescent="0.45">
      <c r="T2201" s="17"/>
      <c r="U2201" s="1"/>
    </row>
    <row r="2202" spans="20:21" x14ac:dyDescent="0.45">
      <c r="T2202" s="17"/>
      <c r="U2202" s="1"/>
    </row>
    <row r="2203" spans="20:21" x14ac:dyDescent="0.45">
      <c r="T2203" s="17"/>
      <c r="U2203" s="1"/>
    </row>
    <row r="2204" spans="20:21" x14ac:dyDescent="0.45">
      <c r="T2204" s="17"/>
      <c r="U2204" s="1"/>
    </row>
    <row r="2205" spans="20:21" x14ac:dyDescent="0.45">
      <c r="T2205" s="17"/>
      <c r="U2205" s="1"/>
    </row>
    <row r="2206" spans="20:21" x14ac:dyDescent="0.45">
      <c r="T2206" s="17"/>
      <c r="U2206" s="1"/>
    </row>
    <row r="2207" spans="20:21" x14ac:dyDescent="0.45">
      <c r="T2207" s="17"/>
      <c r="U2207" s="1"/>
    </row>
    <row r="2208" spans="20:21" x14ac:dyDescent="0.45">
      <c r="T2208" s="17"/>
      <c r="U2208" s="1"/>
    </row>
    <row r="2209" spans="20:21" x14ac:dyDescent="0.45">
      <c r="T2209" s="17"/>
      <c r="U2209" s="1"/>
    </row>
    <row r="2210" spans="20:21" x14ac:dyDescent="0.45">
      <c r="T2210" s="17"/>
      <c r="U2210" s="1"/>
    </row>
    <row r="2211" spans="20:21" x14ac:dyDescent="0.45">
      <c r="T2211" s="17"/>
      <c r="U2211" s="1"/>
    </row>
    <row r="2212" spans="20:21" x14ac:dyDescent="0.45">
      <c r="T2212" s="17"/>
      <c r="U2212" s="1"/>
    </row>
    <row r="2213" spans="20:21" x14ac:dyDescent="0.45">
      <c r="T2213" s="17"/>
      <c r="U2213" s="1"/>
    </row>
    <row r="2214" spans="20:21" x14ac:dyDescent="0.45">
      <c r="T2214" s="17"/>
      <c r="U2214" s="1"/>
    </row>
    <row r="2215" spans="20:21" x14ac:dyDescent="0.45">
      <c r="T2215" s="17"/>
      <c r="U2215" s="1"/>
    </row>
    <row r="2216" spans="20:21" x14ac:dyDescent="0.45">
      <c r="T2216" s="17"/>
      <c r="U2216" s="1"/>
    </row>
    <row r="2217" spans="20:21" x14ac:dyDescent="0.45">
      <c r="T2217" s="17"/>
      <c r="U2217" s="1"/>
    </row>
    <row r="2218" spans="20:21" x14ac:dyDescent="0.45">
      <c r="T2218" s="17"/>
      <c r="U2218" s="1"/>
    </row>
    <row r="2219" spans="20:21" x14ac:dyDescent="0.45">
      <c r="T2219" s="17"/>
      <c r="U2219" s="1"/>
    </row>
    <row r="2220" spans="20:21" x14ac:dyDescent="0.45">
      <c r="T2220" s="17"/>
      <c r="U2220" s="1"/>
    </row>
    <row r="2221" spans="20:21" x14ac:dyDescent="0.45">
      <c r="T2221" s="17"/>
      <c r="U2221" s="1"/>
    </row>
    <row r="2222" spans="20:21" x14ac:dyDescent="0.45">
      <c r="T2222" s="17"/>
      <c r="U2222" s="1"/>
    </row>
    <row r="2223" spans="20:21" x14ac:dyDescent="0.45">
      <c r="T2223" s="17"/>
      <c r="U2223" s="1"/>
    </row>
    <row r="2224" spans="20:21" x14ac:dyDescent="0.45">
      <c r="T2224" s="17"/>
      <c r="U2224" s="1"/>
    </row>
    <row r="2225" spans="20:21" x14ac:dyDescent="0.45">
      <c r="T2225" s="17"/>
      <c r="U2225" s="1"/>
    </row>
    <row r="2226" spans="20:21" x14ac:dyDescent="0.45">
      <c r="T2226" s="17"/>
      <c r="U2226" s="1"/>
    </row>
    <row r="2227" spans="20:21" x14ac:dyDescent="0.45">
      <c r="T2227" s="17"/>
      <c r="U2227" s="1"/>
    </row>
    <row r="2228" spans="20:21" x14ac:dyDescent="0.45">
      <c r="T2228" s="17"/>
      <c r="U2228" s="1"/>
    </row>
    <row r="2229" spans="20:21" x14ac:dyDescent="0.45">
      <c r="T2229" s="17"/>
      <c r="U2229" s="1"/>
    </row>
    <row r="2230" spans="20:21" x14ac:dyDescent="0.45">
      <c r="T2230" s="17"/>
      <c r="U2230" s="1"/>
    </row>
    <row r="2231" spans="20:21" x14ac:dyDescent="0.45">
      <c r="T2231" s="17"/>
      <c r="U2231" s="1"/>
    </row>
    <row r="2232" spans="20:21" x14ac:dyDescent="0.45">
      <c r="T2232" s="17"/>
      <c r="U2232" s="1"/>
    </row>
    <row r="2233" spans="20:21" x14ac:dyDescent="0.45">
      <c r="T2233" s="17"/>
      <c r="U2233" s="1"/>
    </row>
    <row r="2234" spans="20:21" x14ac:dyDescent="0.45">
      <c r="T2234" s="17"/>
      <c r="U2234" s="1"/>
    </row>
    <row r="2235" spans="20:21" x14ac:dyDescent="0.45">
      <c r="T2235" s="17"/>
      <c r="U2235" s="1"/>
    </row>
    <row r="2236" spans="20:21" x14ac:dyDescent="0.45">
      <c r="T2236" s="17"/>
      <c r="U2236" s="1"/>
    </row>
    <row r="2237" spans="20:21" x14ac:dyDescent="0.45">
      <c r="T2237" s="17"/>
      <c r="U2237" s="1"/>
    </row>
    <row r="2238" spans="20:21" x14ac:dyDescent="0.45">
      <c r="T2238" s="17"/>
      <c r="U2238" s="1"/>
    </row>
    <row r="2239" spans="20:21" x14ac:dyDescent="0.45">
      <c r="T2239" s="17"/>
      <c r="U2239" s="1"/>
    </row>
    <row r="2240" spans="20:21" x14ac:dyDescent="0.45">
      <c r="T2240" s="17"/>
      <c r="U2240" s="1"/>
    </row>
    <row r="2241" spans="20:21" x14ac:dyDescent="0.45">
      <c r="T2241" s="17"/>
      <c r="U2241" s="1"/>
    </row>
    <row r="2242" spans="20:21" x14ac:dyDescent="0.45">
      <c r="T2242" s="17"/>
      <c r="U2242" s="1"/>
    </row>
    <row r="2243" spans="20:21" x14ac:dyDescent="0.45">
      <c r="T2243" s="17"/>
      <c r="U2243" s="1"/>
    </row>
    <row r="2244" spans="20:21" x14ac:dyDescent="0.45">
      <c r="T2244" s="17"/>
      <c r="U2244" s="1"/>
    </row>
    <row r="2245" spans="20:21" x14ac:dyDescent="0.45">
      <c r="T2245" s="17"/>
      <c r="U2245" s="1"/>
    </row>
    <row r="2246" spans="20:21" x14ac:dyDescent="0.45">
      <c r="T2246" s="17"/>
      <c r="U2246" s="1"/>
    </row>
    <row r="2247" spans="20:21" x14ac:dyDescent="0.45">
      <c r="T2247" s="17"/>
      <c r="U2247" s="1"/>
    </row>
    <row r="2248" spans="20:21" x14ac:dyDescent="0.45">
      <c r="T2248" s="17"/>
      <c r="U2248" s="1"/>
    </row>
    <row r="2249" spans="20:21" x14ac:dyDescent="0.45">
      <c r="T2249" s="17"/>
      <c r="U2249" s="1"/>
    </row>
    <row r="2250" spans="20:21" x14ac:dyDescent="0.45">
      <c r="T2250" s="17"/>
      <c r="U2250" s="1"/>
    </row>
    <row r="2251" spans="20:21" x14ac:dyDescent="0.45">
      <c r="T2251" s="17"/>
      <c r="U2251" s="1"/>
    </row>
    <row r="2252" spans="20:21" x14ac:dyDescent="0.45">
      <c r="T2252" s="17"/>
      <c r="U2252" s="1"/>
    </row>
    <row r="2253" spans="20:21" x14ac:dyDescent="0.45">
      <c r="T2253" s="17"/>
      <c r="U2253" s="1"/>
    </row>
    <row r="2254" spans="20:21" x14ac:dyDescent="0.45">
      <c r="T2254" s="17"/>
      <c r="U2254" s="1"/>
    </row>
    <row r="2255" spans="20:21" x14ac:dyDescent="0.45">
      <c r="T2255" s="17"/>
      <c r="U2255" s="1"/>
    </row>
    <row r="2256" spans="20:21" x14ac:dyDescent="0.45">
      <c r="T2256" s="17"/>
      <c r="U2256" s="1"/>
    </row>
    <row r="2257" spans="20:21" x14ac:dyDescent="0.45">
      <c r="T2257" s="17"/>
      <c r="U2257" s="1"/>
    </row>
    <row r="2258" spans="20:21" x14ac:dyDescent="0.45">
      <c r="T2258" s="17"/>
      <c r="U2258" s="1"/>
    </row>
    <row r="2259" spans="20:21" x14ac:dyDescent="0.45">
      <c r="T2259" s="17"/>
      <c r="U2259" s="1"/>
    </row>
    <row r="2260" spans="20:21" x14ac:dyDescent="0.45">
      <c r="T2260" s="17"/>
      <c r="U2260" s="1"/>
    </row>
    <row r="2261" spans="20:21" x14ac:dyDescent="0.45">
      <c r="T2261" s="17"/>
      <c r="U2261" s="1"/>
    </row>
    <row r="2262" spans="20:21" x14ac:dyDescent="0.45">
      <c r="T2262" s="17"/>
      <c r="U2262" s="1"/>
    </row>
    <row r="2263" spans="20:21" x14ac:dyDescent="0.45">
      <c r="T2263" s="17"/>
      <c r="U2263" s="1"/>
    </row>
    <row r="2264" spans="20:21" x14ac:dyDescent="0.45">
      <c r="T2264" s="17"/>
      <c r="U2264" s="1"/>
    </row>
    <row r="2265" spans="20:21" x14ac:dyDescent="0.45">
      <c r="T2265" s="17"/>
      <c r="U2265" s="1"/>
    </row>
    <row r="2266" spans="20:21" x14ac:dyDescent="0.45">
      <c r="T2266" s="17"/>
      <c r="U2266" s="1"/>
    </row>
    <row r="2267" spans="20:21" x14ac:dyDescent="0.45">
      <c r="T2267" s="17"/>
      <c r="U2267" s="1"/>
    </row>
    <row r="2268" spans="20:21" x14ac:dyDescent="0.45">
      <c r="T2268" s="17"/>
      <c r="U2268" s="1"/>
    </row>
    <row r="2269" spans="20:21" x14ac:dyDescent="0.45">
      <c r="T2269" s="17"/>
      <c r="U2269" s="1"/>
    </row>
    <row r="2270" spans="20:21" x14ac:dyDescent="0.45">
      <c r="T2270" s="17"/>
      <c r="U2270" s="1"/>
    </row>
    <row r="2271" spans="20:21" x14ac:dyDescent="0.45">
      <c r="T2271" s="17"/>
      <c r="U2271" s="1"/>
    </row>
    <row r="2272" spans="20:21" x14ac:dyDescent="0.45">
      <c r="T2272" s="17"/>
      <c r="U2272" s="1"/>
    </row>
    <row r="2273" spans="20:21" x14ac:dyDescent="0.45">
      <c r="T2273" s="17"/>
      <c r="U2273" s="1"/>
    </row>
    <row r="2274" spans="20:21" x14ac:dyDescent="0.45">
      <c r="T2274" s="17"/>
      <c r="U2274" s="1"/>
    </row>
    <row r="2275" spans="20:21" x14ac:dyDescent="0.45">
      <c r="T2275" s="17"/>
      <c r="U2275" s="1"/>
    </row>
    <row r="2276" spans="20:21" x14ac:dyDescent="0.45">
      <c r="T2276" s="17"/>
      <c r="U2276" s="1"/>
    </row>
    <row r="2277" spans="20:21" x14ac:dyDescent="0.45">
      <c r="T2277" s="17"/>
      <c r="U2277" s="1"/>
    </row>
    <row r="2278" spans="20:21" x14ac:dyDescent="0.45">
      <c r="T2278" s="17"/>
      <c r="U2278" s="1"/>
    </row>
    <row r="2279" spans="20:21" x14ac:dyDescent="0.45">
      <c r="T2279" s="17"/>
      <c r="U2279" s="1"/>
    </row>
    <row r="2280" spans="20:21" x14ac:dyDescent="0.45">
      <c r="T2280" s="17"/>
      <c r="U2280" s="1"/>
    </row>
    <row r="2281" spans="20:21" x14ac:dyDescent="0.45">
      <c r="T2281" s="17"/>
      <c r="U2281" s="1"/>
    </row>
    <row r="2282" spans="20:21" x14ac:dyDescent="0.45">
      <c r="T2282" s="17"/>
      <c r="U2282" s="1"/>
    </row>
    <row r="2283" spans="20:21" x14ac:dyDescent="0.45">
      <c r="T2283" s="17"/>
      <c r="U2283" s="1"/>
    </row>
    <row r="2284" spans="20:21" x14ac:dyDescent="0.45">
      <c r="T2284" s="17"/>
      <c r="U2284" s="1"/>
    </row>
    <row r="2285" spans="20:21" x14ac:dyDescent="0.45">
      <c r="T2285" s="17"/>
      <c r="U2285" s="1"/>
    </row>
    <row r="2286" spans="20:21" x14ac:dyDescent="0.45">
      <c r="T2286" s="17"/>
      <c r="U2286" s="1"/>
    </row>
    <row r="2287" spans="20:21" x14ac:dyDescent="0.45">
      <c r="T2287" s="17"/>
      <c r="U2287" s="1"/>
    </row>
    <row r="2288" spans="20:21" x14ac:dyDescent="0.45">
      <c r="T2288" s="17"/>
      <c r="U2288" s="1"/>
    </row>
    <row r="2289" spans="20:21" x14ac:dyDescent="0.45">
      <c r="T2289" s="17"/>
      <c r="U2289" s="1"/>
    </row>
    <row r="2290" spans="20:21" x14ac:dyDescent="0.45">
      <c r="T2290" s="17"/>
      <c r="U2290" s="1"/>
    </row>
    <row r="2291" spans="20:21" x14ac:dyDescent="0.45">
      <c r="T2291" s="17"/>
      <c r="U2291" s="1"/>
    </row>
    <row r="2292" spans="20:21" x14ac:dyDescent="0.45">
      <c r="T2292" s="17"/>
      <c r="U2292" s="1"/>
    </row>
    <row r="2293" spans="20:21" x14ac:dyDescent="0.45">
      <c r="T2293" s="17"/>
      <c r="U2293" s="1"/>
    </row>
    <row r="2294" spans="20:21" x14ac:dyDescent="0.45">
      <c r="T2294" s="17"/>
      <c r="U2294" s="1"/>
    </row>
    <row r="2295" spans="20:21" x14ac:dyDescent="0.45">
      <c r="T2295" s="17"/>
      <c r="U2295" s="1"/>
    </row>
    <row r="2296" spans="20:21" x14ac:dyDescent="0.45">
      <c r="T2296" s="17"/>
      <c r="U2296" s="1"/>
    </row>
    <row r="2297" spans="20:21" x14ac:dyDescent="0.45">
      <c r="T2297" s="17"/>
      <c r="U2297" s="1"/>
    </row>
    <row r="2298" spans="20:21" x14ac:dyDescent="0.45">
      <c r="T2298" s="17"/>
      <c r="U2298" s="1"/>
    </row>
    <row r="2299" spans="20:21" x14ac:dyDescent="0.45">
      <c r="T2299" s="17"/>
      <c r="U2299" s="1"/>
    </row>
    <row r="2300" spans="20:21" x14ac:dyDescent="0.45">
      <c r="T2300" s="17"/>
      <c r="U2300" s="1"/>
    </row>
    <row r="2301" spans="20:21" x14ac:dyDescent="0.45">
      <c r="T2301" s="17"/>
      <c r="U2301" s="1"/>
    </row>
    <row r="2302" spans="20:21" x14ac:dyDescent="0.45">
      <c r="T2302" s="17"/>
      <c r="U2302" s="1"/>
    </row>
    <row r="2303" spans="20:21" x14ac:dyDescent="0.45">
      <c r="T2303" s="17"/>
      <c r="U2303" s="1"/>
    </row>
    <row r="2304" spans="20:21" x14ac:dyDescent="0.45">
      <c r="T2304" s="17"/>
      <c r="U2304" s="1"/>
    </row>
    <row r="2305" spans="20:21" x14ac:dyDescent="0.45">
      <c r="T2305" s="17"/>
      <c r="U2305" s="1"/>
    </row>
    <row r="2306" spans="20:21" x14ac:dyDescent="0.45">
      <c r="T2306" s="17"/>
      <c r="U2306" s="1"/>
    </row>
    <row r="2307" spans="20:21" x14ac:dyDescent="0.45">
      <c r="T2307" s="17"/>
      <c r="U2307" s="1"/>
    </row>
    <row r="2308" spans="20:21" x14ac:dyDescent="0.45">
      <c r="T2308" s="17"/>
      <c r="U2308" s="1"/>
    </row>
    <row r="2309" spans="20:21" x14ac:dyDescent="0.45">
      <c r="T2309" s="17"/>
      <c r="U2309" s="1"/>
    </row>
    <row r="2310" spans="20:21" x14ac:dyDescent="0.45">
      <c r="T2310" s="17"/>
      <c r="U2310" s="1"/>
    </row>
    <row r="2311" spans="20:21" x14ac:dyDescent="0.45">
      <c r="T2311" s="17"/>
      <c r="U2311" s="1"/>
    </row>
    <row r="2312" spans="20:21" x14ac:dyDescent="0.45">
      <c r="T2312" s="17"/>
      <c r="U2312" s="1"/>
    </row>
    <row r="2313" spans="20:21" x14ac:dyDescent="0.45">
      <c r="T2313" s="17"/>
      <c r="U2313" s="1"/>
    </row>
    <row r="2314" spans="20:21" x14ac:dyDescent="0.45">
      <c r="T2314" s="17"/>
      <c r="U2314" s="1"/>
    </row>
    <row r="2315" spans="20:21" x14ac:dyDescent="0.45">
      <c r="T2315" s="17"/>
      <c r="U2315" s="1"/>
    </row>
    <row r="2316" spans="20:21" x14ac:dyDescent="0.45">
      <c r="T2316" s="17"/>
      <c r="U2316" s="1"/>
    </row>
    <row r="2317" spans="20:21" x14ac:dyDescent="0.45">
      <c r="T2317" s="17"/>
      <c r="U2317" s="1"/>
    </row>
    <row r="2318" spans="20:21" x14ac:dyDescent="0.45">
      <c r="T2318" s="17"/>
      <c r="U2318" s="1"/>
    </row>
    <row r="2319" spans="20:21" x14ac:dyDescent="0.45">
      <c r="T2319" s="17"/>
      <c r="U2319" s="1"/>
    </row>
    <row r="2320" spans="20:21" x14ac:dyDescent="0.45">
      <c r="T2320" s="17"/>
      <c r="U2320" s="1"/>
    </row>
    <row r="2321" spans="20:21" x14ac:dyDescent="0.45">
      <c r="T2321" s="17"/>
      <c r="U2321" s="1"/>
    </row>
    <row r="2322" spans="20:21" x14ac:dyDescent="0.45">
      <c r="T2322" s="17"/>
      <c r="U2322" s="1"/>
    </row>
    <row r="2323" spans="20:21" x14ac:dyDescent="0.45">
      <c r="T2323" s="17"/>
      <c r="U2323" s="1"/>
    </row>
    <row r="2324" spans="20:21" x14ac:dyDescent="0.45">
      <c r="T2324" s="17"/>
      <c r="U2324" s="1"/>
    </row>
    <row r="2325" spans="20:21" x14ac:dyDescent="0.45">
      <c r="T2325" s="17"/>
      <c r="U2325" s="1"/>
    </row>
    <row r="2326" spans="20:21" x14ac:dyDescent="0.45">
      <c r="T2326" s="17"/>
      <c r="U2326" s="1"/>
    </row>
    <row r="2327" spans="20:21" x14ac:dyDescent="0.45">
      <c r="T2327" s="17"/>
      <c r="U2327" s="1"/>
    </row>
    <row r="2328" spans="20:21" x14ac:dyDescent="0.45">
      <c r="T2328" s="17"/>
      <c r="U2328" s="1"/>
    </row>
    <row r="2329" spans="20:21" x14ac:dyDescent="0.45">
      <c r="T2329" s="17"/>
      <c r="U2329" s="1"/>
    </row>
    <row r="2330" spans="20:21" x14ac:dyDescent="0.45">
      <c r="T2330" s="17"/>
      <c r="U2330" s="1"/>
    </row>
    <row r="2331" spans="20:21" x14ac:dyDescent="0.45">
      <c r="T2331" s="17"/>
      <c r="U2331" s="1"/>
    </row>
    <row r="2332" spans="20:21" x14ac:dyDescent="0.45">
      <c r="T2332" s="17"/>
      <c r="U2332" s="1"/>
    </row>
    <row r="2333" spans="20:21" x14ac:dyDescent="0.45">
      <c r="T2333" s="17"/>
      <c r="U2333" s="1"/>
    </row>
    <row r="2334" spans="20:21" x14ac:dyDescent="0.45">
      <c r="T2334" s="17"/>
      <c r="U2334" s="1"/>
    </row>
    <row r="2335" spans="20:21" x14ac:dyDescent="0.45">
      <c r="T2335" s="17"/>
      <c r="U2335" s="1"/>
    </row>
    <row r="2336" spans="20:21" x14ac:dyDescent="0.45">
      <c r="T2336" s="17"/>
      <c r="U2336" s="1"/>
    </row>
    <row r="2337" spans="20:21" x14ac:dyDescent="0.45">
      <c r="T2337" s="17"/>
      <c r="U2337" s="1"/>
    </row>
    <row r="2338" spans="20:21" x14ac:dyDescent="0.45">
      <c r="T2338" s="17"/>
      <c r="U2338" s="1"/>
    </row>
    <row r="2339" spans="20:21" x14ac:dyDescent="0.45">
      <c r="T2339" s="17"/>
      <c r="U2339" s="1"/>
    </row>
    <row r="2340" spans="20:21" x14ac:dyDescent="0.45">
      <c r="T2340" s="17"/>
      <c r="U2340" s="1"/>
    </row>
    <row r="2341" spans="20:21" x14ac:dyDescent="0.45">
      <c r="T2341" s="17"/>
      <c r="U2341" s="1"/>
    </row>
    <row r="2342" spans="20:21" x14ac:dyDescent="0.45">
      <c r="T2342" s="17"/>
      <c r="U2342" s="1"/>
    </row>
    <row r="2343" spans="20:21" x14ac:dyDescent="0.45">
      <c r="T2343" s="17"/>
      <c r="U2343" s="1"/>
    </row>
    <row r="2344" spans="20:21" x14ac:dyDescent="0.45">
      <c r="T2344" s="17"/>
      <c r="U2344" s="1"/>
    </row>
    <row r="2345" spans="20:21" x14ac:dyDescent="0.45">
      <c r="T2345" s="17"/>
      <c r="U2345" s="1"/>
    </row>
    <row r="2346" spans="20:21" x14ac:dyDescent="0.45">
      <c r="T2346" s="17"/>
      <c r="U2346" s="1"/>
    </row>
    <row r="2347" spans="20:21" x14ac:dyDescent="0.45">
      <c r="T2347" s="17"/>
      <c r="U2347" s="1"/>
    </row>
    <row r="2348" spans="20:21" x14ac:dyDescent="0.45">
      <c r="T2348" s="17"/>
      <c r="U2348" s="1"/>
    </row>
    <row r="2349" spans="20:21" x14ac:dyDescent="0.45">
      <c r="T2349" s="17"/>
      <c r="U2349" s="1"/>
    </row>
    <row r="2350" spans="20:21" x14ac:dyDescent="0.45">
      <c r="T2350" s="17"/>
      <c r="U2350" s="1"/>
    </row>
    <row r="2351" spans="20:21" x14ac:dyDescent="0.45">
      <c r="T2351" s="17"/>
      <c r="U2351" s="1"/>
    </row>
    <row r="2352" spans="20:21" x14ac:dyDescent="0.45">
      <c r="T2352" s="17"/>
      <c r="U2352" s="1"/>
    </row>
    <row r="2353" spans="20:21" x14ac:dyDescent="0.45">
      <c r="T2353" s="17"/>
      <c r="U2353" s="1"/>
    </row>
    <row r="2354" spans="20:21" x14ac:dyDescent="0.45">
      <c r="T2354" s="17"/>
      <c r="U2354" s="1"/>
    </row>
    <row r="2355" spans="20:21" x14ac:dyDescent="0.45">
      <c r="T2355" s="17"/>
      <c r="U2355" s="1"/>
    </row>
    <row r="2356" spans="20:21" x14ac:dyDescent="0.45">
      <c r="T2356" s="17"/>
      <c r="U2356" s="1"/>
    </row>
    <row r="2357" spans="20:21" x14ac:dyDescent="0.45">
      <c r="T2357" s="17"/>
      <c r="U2357" s="1"/>
    </row>
    <row r="2358" spans="20:21" x14ac:dyDescent="0.45">
      <c r="T2358" s="17"/>
      <c r="U2358" s="1"/>
    </row>
    <row r="2359" spans="20:21" x14ac:dyDescent="0.45">
      <c r="T2359" s="17"/>
      <c r="U2359" s="1"/>
    </row>
    <row r="2360" spans="20:21" x14ac:dyDescent="0.45">
      <c r="T2360" s="17"/>
      <c r="U2360" s="1"/>
    </row>
    <row r="2361" spans="20:21" x14ac:dyDescent="0.45">
      <c r="T2361" s="17"/>
      <c r="U2361" s="1"/>
    </row>
    <row r="2362" spans="20:21" x14ac:dyDescent="0.45">
      <c r="T2362" s="17"/>
      <c r="U2362" s="1"/>
    </row>
    <row r="2363" spans="20:21" x14ac:dyDescent="0.45">
      <c r="T2363" s="17"/>
      <c r="U2363" s="1"/>
    </row>
    <row r="2364" spans="20:21" x14ac:dyDescent="0.45">
      <c r="T2364" s="17"/>
      <c r="U2364" s="1"/>
    </row>
    <row r="2365" spans="20:21" x14ac:dyDescent="0.45">
      <c r="T2365" s="17"/>
      <c r="U2365" s="1"/>
    </row>
    <row r="2366" spans="20:21" x14ac:dyDescent="0.45">
      <c r="T2366" s="17"/>
      <c r="U2366" s="1"/>
    </row>
    <row r="2367" spans="20:21" x14ac:dyDescent="0.45">
      <c r="T2367" s="17"/>
      <c r="U2367" s="1"/>
    </row>
    <row r="2368" spans="20:21" x14ac:dyDescent="0.45">
      <c r="T2368" s="17"/>
      <c r="U2368" s="1"/>
    </row>
    <row r="2369" spans="20:21" x14ac:dyDescent="0.45">
      <c r="T2369" s="17"/>
      <c r="U2369" s="1"/>
    </row>
    <row r="2370" spans="20:21" x14ac:dyDescent="0.45">
      <c r="T2370" s="17"/>
      <c r="U2370" s="1"/>
    </row>
    <row r="2371" spans="20:21" x14ac:dyDescent="0.45">
      <c r="T2371" s="17"/>
      <c r="U2371" s="1"/>
    </row>
    <row r="2372" spans="20:21" x14ac:dyDescent="0.45">
      <c r="T2372" s="17"/>
      <c r="U2372" s="1"/>
    </row>
    <row r="2373" spans="20:21" x14ac:dyDescent="0.45">
      <c r="T2373" s="17"/>
      <c r="U2373" s="1"/>
    </row>
    <row r="2374" spans="20:21" x14ac:dyDescent="0.45">
      <c r="T2374" s="17"/>
      <c r="U2374" s="1"/>
    </row>
    <row r="2375" spans="20:21" x14ac:dyDescent="0.45">
      <c r="T2375" s="17"/>
      <c r="U2375" s="1"/>
    </row>
    <row r="2376" spans="20:21" x14ac:dyDescent="0.45">
      <c r="T2376" s="17"/>
      <c r="U2376" s="1"/>
    </row>
    <row r="2377" spans="20:21" x14ac:dyDescent="0.45">
      <c r="T2377" s="17"/>
      <c r="U2377" s="1"/>
    </row>
    <row r="2378" spans="20:21" x14ac:dyDescent="0.45">
      <c r="T2378" s="17"/>
      <c r="U2378" s="1"/>
    </row>
    <row r="2379" spans="20:21" x14ac:dyDescent="0.45">
      <c r="T2379" s="17"/>
      <c r="U2379" s="1"/>
    </row>
    <row r="2380" spans="20:21" x14ac:dyDescent="0.45">
      <c r="T2380" s="17"/>
      <c r="U2380" s="1"/>
    </row>
    <row r="2381" spans="20:21" x14ac:dyDescent="0.45">
      <c r="T2381" s="17"/>
      <c r="U2381" s="1"/>
    </row>
    <row r="2382" spans="20:21" x14ac:dyDescent="0.45">
      <c r="T2382" s="17"/>
      <c r="U2382" s="1"/>
    </row>
    <row r="2383" spans="20:21" x14ac:dyDescent="0.45">
      <c r="T2383" s="17"/>
      <c r="U2383" s="1"/>
    </row>
    <row r="2384" spans="20:21" x14ac:dyDescent="0.45">
      <c r="T2384" s="17"/>
      <c r="U2384" s="1"/>
    </row>
    <row r="2385" spans="20:21" x14ac:dyDescent="0.45">
      <c r="T2385" s="17"/>
      <c r="U2385" s="1"/>
    </row>
    <row r="2386" spans="20:21" x14ac:dyDescent="0.45">
      <c r="T2386" s="17"/>
      <c r="U2386" s="1"/>
    </row>
    <row r="2387" spans="20:21" x14ac:dyDescent="0.45">
      <c r="T2387" s="17"/>
      <c r="U2387" s="1"/>
    </row>
    <row r="2388" spans="20:21" x14ac:dyDescent="0.45">
      <c r="T2388" s="17"/>
      <c r="U2388" s="1"/>
    </row>
    <row r="2389" spans="20:21" x14ac:dyDescent="0.45">
      <c r="T2389" s="17"/>
      <c r="U2389" s="1"/>
    </row>
    <row r="2390" spans="20:21" x14ac:dyDescent="0.45">
      <c r="T2390" s="17"/>
      <c r="U2390" s="1"/>
    </row>
    <row r="2391" spans="20:21" x14ac:dyDescent="0.45">
      <c r="T2391" s="17"/>
      <c r="U2391" s="1"/>
    </row>
    <row r="2392" spans="20:21" x14ac:dyDescent="0.45">
      <c r="T2392" s="17"/>
      <c r="U2392" s="1"/>
    </row>
    <row r="2393" spans="20:21" x14ac:dyDescent="0.45">
      <c r="T2393" s="17"/>
      <c r="U2393" s="1"/>
    </row>
    <row r="2394" spans="20:21" x14ac:dyDescent="0.45">
      <c r="T2394" s="17"/>
      <c r="U2394" s="1"/>
    </row>
    <row r="2395" spans="20:21" x14ac:dyDescent="0.45">
      <c r="T2395" s="17"/>
      <c r="U2395" s="1"/>
    </row>
    <row r="2396" spans="20:21" x14ac:dyDescent="0.45">
      <c r="T2396" s="17"/>
      <c r="U2396" s="1"/>
    </row>
    <row r="2397" spans="20:21" x14ac:dyDescent="0.45">
      <c r="T2397" s="17"/>
      <c r="U2397" s="1"/>
    </row>
    <row r="2398" spans="20:21" x14ac:dyDescent="0.45">
      <c r="T2398" s="17"/>
      <c r="U2398" s="1"/>
    </row>
    <row r="2399" spans="20:21" x14ac:dyDescent="0.45">
      <c r="T2399" s="17"/>
      <c r="U2399" s="1"/>
    </row>
    <row r="2400" spans="20:21" x14ac:dyDescent="0.45">
      <c r="T2400" s="17"/>
      <c r="U2400" s="1"/>
    </row>
    <row r="2401" spans="20:21" x14ac:dyDescent="0.45">
      <c r="T2401" s="17"/>
      <c r="U2401" s="1"/>
    </row>
    <row r="2402" spans="20:21" x14ac:dyDescent="0.45">
      <c r="T2402" s="17"/>
      <c r="U2402" s="1"/>
    </row>
    <row r="2403" spans="20:21" x14ac:dyDescent="0.45">
      <c r="T2403" s="17"/>
      <c r="U2403" s="1"/>
    </row>
    <row r="2404" spans="20:21" x14ac:dyDescent="0.45">
      <c r="T2404" s="17"/>
      <c r="U2404" s="1"/>
    </row>
    <row r="2405" spans="20:21" x14ac:dyDescent="0.45">
      <c r="T2405" s="17"/>
      <c r="U2405" s="1"/>
    </row>
    <row r="2406" spans="20:21" x14ac:dyDescent="0.45">
      <c r="T2406" s="17"/>
      <c r="U2406" s="1"/>
    </row>
    <row r="2407" spans="20:21" x14ac:dyDescent="0.45">
      <c r="T2407" s="17"/>
      <c r="U2407" s="1"/>
    </row>
    <row r="2408" spans="20:21" x14ac:dyDescent="0.45">
      <c r="T2408" s="17"/>
      <c r="U2408" s="1"/>
    </row>
    <row r="2409" spans="20:21" x14ac:dyDescent="0.45">
      <c r="T2409" s="17"/>
      <c r="U2409" s="1"/>
    </row>
    <row r="2410" spans="20:21" x14ac:dyDescent="0.45">
      <c r="T2410" s="17"/>
      <c r="U2410" s="1"/>
    </row>
    <row r="2411" spans="20:21" x14ac:dyDescent="0.45">
      <c r="T2411" s="17"/>
      <c r="U2411" s="1"/>
    </row>
    <row r="2412" spans="20:21" x14ac:dyDescent="0.45">
      <c r="T2412" s="17"/>
      <c r="U2412" s="1"/>
    </row>
    <row r="2413" spans="20:21" x14ac:dyDescent="0.45">
      <c r="T2413" s="17"/>
      <c r="U2413" s="1"/>
    </row>
    <row r="2414" spans="20:21" x14ac:dyDescent="0.45">
      <c r="T2414" s="17"/>
      <c r="U2414" s="1"/>
    </row>
    <row r="2415" spans="20:21" x14ac:dyDescent="0.45">
      <c r="T2415" s="17"/>
      <c r="U2415" s="1"/>
    </row>
    <row r="2416" spans="20:21" x14ac:dyDescent="0.45">
      <c r="T2416" s="17"/>
      <c r="U2416" s="1"/>
    </row>
    <row r="2417" spans="20:21" x14ac:dyDescent="0.45">
      <c r="T2417" s="17"/>
      <c r="U2417" s="1"/>
    </row>
    <row r="2418" spans="20:21" x14ac:dyDescent="0.45">
      <c r="T2418" s="17"/>
      <c r="U2418" s="1"/>
    </row>
    <row r="2419" spans="20:21" x14ac:dyDescent="0.45">
      <c r="T2419" s="17"/>
      <c r="U2419" s="1"/>
    </row>
    <row r="2420" spans="20:21" x14ac:dyDescent="0.45">
      <c r="T2420" s="17"/>
      <c r="U2420" s="1"/>
    </row>
    <row r="2421" spans="20:21" x14ac:dyDescent="0.45">
      <c r="T2421" s="17"/>
      <c r="U2421" s="1"/>
    </row>
    <row r="2422" spans="20:21" x14ac:dyDescent="0.45">
      <c r="T2422" s="17"/>
      <c r="U2422" s="1"/>
    </row>
    <row r="2423" spans="20:21" x14ac:dyDescent="0.45">
      <c r="T2423" s="17"/>
      <c r="U2423" s="1"/>
    </row>
    <row r="2424" spans="20:21" x14ac:dyDescent="0.45">
      <c r="T2424" s="17"/>
      <c r="U2424" s="1"/>
    </row>
    <row r="2425" spans="20:21" x14ac:dyDescent="0.45">
      <c r="T2425" s="17"/>
      <c r="U2425" s="1"/>
    </row>
    <row r="2426" spans="20:21" x14ac:dyDescent="0.45">
      <c r="T2426" s="17"/>
      <c r="U2426" s="1"/>
    </row>
    <row r="2427" spans="20:21" x14ac:dyDescent="0.45">
      <c r="T2427" s="17"/>
      <c r="U2427" s="1"/>
    </row>
    <row r="2428" spans="20:21" x14ac:dyDescent="0.45">
      <c r="T2428" s="17"/>
      <c r="U2428" s="1"/>
    </row>
    <row r="2429" spans="20:21" x14ac:dyDescent="0.45">
      <c r="T2429" s="17"/>
      <c r="U2429" s="1"/>
    </row>
    <row r="2430" spans="20:21" x14ac:dyDescent="0.45">
      <c r="T2430" s="17"/>
      <c r="U2430" s="1"/>
    </row>
    <row r="2431" spans="20:21" x14ac:dyDescent="0.45">
      <c r="T2431" s="17"/>
      <c r="U2431" s="1"/>
    </row>
    <row r="2432" spans="20:21" x14ac:dyDescent="0.45">
      <c r="T2432" s="17"/>
      <c r="U2432" s="1"/>
    </row>
    <row r="2433" spans="20:21" x14ac:dyDescent="0.45">
      <c r="T2433" s="17"/>
      <c r="U2433" s="1"/>
    </row>
    <row r="2434" spans="20:21" x14ac:dyDescent="0.45">
      <c r="T2434" s="17"/>
      <c r="U2434" s="1"/>
    </row>
    <row r="2435" spans="20:21" x14ac:dyDescent="0.45">
      <c r="T2435" s="17"/>
      <c r="U2435" s="1"/>
    </row>
    <row r="2436" spans="20:21" x14ac:dyDescent="0.45">
      <c r="T2436" s="17"/>
      <c r="U2436" s="1"/>
    </row>
    <row r="2437" spans="20:21" x14ac:dyDescent="0.45">
      <c r="T2437" s="17"/>
      <c r="U2437" s="1"/>
    </row>
    <row r="2438" spans="20:21" x14ac:dyDescent="0.45">
      <c r="T2438" s="17"/>
      <c r="U2438" s="1"/>
    </row>
    <row r="2439" spans="20:21" x14ac:dyDescent="0.45">
      <c r="T2439" s="17"/>
      <c r="U2439" s="1"/>
    </row>
    <row r="2440" spans="20:21" x14ac:dyDescent="0.45">
      <c r="T2440" s="17"/>
      <c r="U2440" s="1"/>
    </row>
    <row r="2441" spans="20:21" x14ac:dyDescent="0.45">
      <c r="T2441" s="17"/>
      <c r="U2441" s="1"/>
    </row>
    <row r="2442" spans="20:21" x14ac:dyDescent="0.45">
      <c r="T2442" s="17"/>
      <c r="U2442" s="1"/>
    </row>
    <row r="2443" spans="20:21" x14ac:dyDescent="0.45">
      <c r="T2443" s="17"/>
      <c r="U2443" s="1"/>
    </row>
    <row r="2444" spans="20:21" x14ac:dyDescent="0.45">
      <c r="T2444" s="17"/>
      <c r="U2444" s="1"/>
    </row>
    <row r="2445" spans="20:21" x14ac:dyDescent="0.45">
      <c r="T2445" s="17"/>
      <c r="U2445" s="1"/>
    </row>
    <row r="2446" spans="20:21" x14ac:dyDescent="0.45">
      <c r="T2446" s="17"/>
      <c r="U2446" s="1"/>
    </row>
    <row r="2447" spans="20:21" x14ac:dyDescent="0.45">
      <c r="T2447" s="17"/>
      <c r="U2447" s="1"/>
    </row>
    <row r="2448" spans="20:21" x14ac:dyDescent="0.45">
      <c r="T2448" s="17"/>
      <c r="U2448" s="1"/>
    </row>
    <row r="2449" spans="20:21" x14ac:dyDescent="0.45">
      <c r="T2449" s="17"/>
      <c r="U2449" s="1"/>
    </row>
    <row r="2450" spans="20:21" x14ac:dyDescent="0.45">
      <c r="T2450" s="17"/>
      <c r="U2450" s="1"/>
    </row>
    <row r="2451" spans="20:21" x14ac:dyDescent="0.45">
      <c r="T2451" s="17"/>
      <c r="U2451" s="1"/>
    </row>
    <row r="2452" spans="20:21" x14ac:dyDescent="0.45">
      <c r="T2452" s="17"/>
      <c r="U2452" s="1"/>
    </row>
    <row r="2453" spans="20:21" x14ac:dyDescent="0.45">
      <c r="T2453" s="17"/>
      <c r="U2453" s="1"/>
    </row>
    <row r="2454" spans="20:21" x14ac:dyDescent="0.45">
      <c r="T2454" s="17"/>
      <c r="U2454" s="1"/>
    </row>
    <row r="2455" spans="20:21" x14ac:dyDescent="0.45">
      <c r="T2455" s="17"/>
      <c r="U2455" s="1"/>
    </row>
    <row r="2456" spans="20:21" x14ac:dyDescent="0.45">
      <c r="T2456" s="17"/>
      <c r="U2456" s="1"/>
    </row>
    <row r="2457" spans="20:21" x14ac:dyDescent="0.45">
      <c r="T2457" s="17"/>
      <c r="U2457" s="1"/>
    </row>
    <row r="2458" spans="20:21" x14ac:dyDescent="0.45">
      <c r="T2458" s="17"/>
      <c r="U2458" s="1"/>
    </row>
    <row r="2459" spans="20:21" x14ac:dyDescent="0.45">
      <c r="T2459" s="17"/>
      <c r="U2459" s="1"/>
    </row>
    <row r="2460" spans="20:21" x14ac:dyDescent="0.45">
      <c r="T2460" s="17"/>
      <c r="U2460" s="1"/>
    </row>
    <row r="2461" spans="20:21" x14ac:dyDescent="0.45">
      <c r="T2461" s="17"/>
      <c r="U2461" s="1"/>
    </row>
    <row r="2462" spans="20:21" x14ac:dyDescent="0.45">
      <c r="T2462" s="17"/>
      <c r="U2462" s="1"/>
    </row>
    <row r="2463" spans="20:21" x14ac:dyDescent="0.45">
      <c r="T2463" s="17"/>
      <c r="U2463" s="1"/>
    </row>
    <row r="2464" spans="20:21" x14ac:dyDescent="0.45">
      <c r="T2464" s="17"/>
      <c r="U2464" s="1"/>
    </row>
    <row r="2465" spans="20:21" x14ac:dyDescent="0.45">
      <c r="T2465" s="17"/>
      <c r="U2465" s="1"/>
    </row>
    <row r="2466" spans="20:21" x14ac:dyDescent="0.45">
      <c r="T2466" s="17"/>
      <c r="U2466" s="1"/>
    </row>
    <row r="2467" spans="20:21" x14ac:dyDescent="0.45">
      <c r="T2467" s="17"/>
      <c r="U2467" s="1"/>
    </row>
    <row r="2468" spans="20:21" x14ac:dyDescent="0.45">
      <c r="T2468" s="17"/>
      <c r="U2468" s="1"/>
    </row>
    <row r="2469" spans="20:21" x14ac:dyDescent="0.45">
      <c r="T2469" s="17"/>
      <c r="U2469" s="1"/>
    </row>
    <row r="2470" spans="20:21" x14ac:dyDescent="0.45">
      <c r="T2470" s="17"/>
      <c r="U2470" s="1"/>
    </row>
    <row r="2471" spans="20:21" x14ac:dyDescent="0.45">
      <c r="T2471" s="17"/>
      <c r="U2471" s="1"/>
    </row>
    <row r="2472" spans="20:21" x14ac:dyDescent="0.45">
      <c r="T2472" s="17"/>
      <c r="U2472" s="1"/>
    </row>
    <row r="2473" spans="20:21" x14ac:dyDescent="0.45">
      <c r="T2473" s="17"/>
      <c r="U2473" s="1"/>
    </row>
    <row r="2474" spans="20:21" x14ac:dyDescent="0.45">
      <c r="T2474" s="17"/>
      <c r="U2474" s="1"/>
    </row>
    <row r="2475" spans="20:21" x14ac:dyDescent="0.45">
      <c r="T2475" s="17"/>
      <c r="U2475" s="1"/>
    </row>
    <row r="2476" spans="20:21" x14ac:dyDescent="0.45">
      <c r="T2476" s="17"/>
      <c r="U2476" s="1"/>
    </row>
    <row r="2477" spans="20:21" x14ac:dyDescent="0.45">
      <c r="T2477" s="17"/>
      <c r="U2477" s="1"/>
    </row>
    <row r="2478" spans="20:21" x14ac:dyDescent="0.45">
      <c r="T2478" s="17"/>
      <c r="U2478" s="1"/>
    </row>
    <row r="2479" spans="20:21" x14ac:dyDescent="0.45">
      <c r="T2479" s="17"/>
      <c r="U2479" s="1"/>
    </row>
    <row r="2480" spans="20:21" x14ac:dyDescent="0.45">
      <c r="T2480" s="17"/>
      <c r="U2480" s="1"/>
    </row>
    <row r="2481" spans="20:21" x14ac:dyDescent="0.45">
      <c r="T2481" s="17"/>
      <c r="U2481" s="1"/>
    </row>
    <row r="2482" spans="20:21" x14ac:dyDescent="0.45">
      <c r="T2482" s="17"/>
      <c r="U2482" s="1"/>
    </row>
    <row r="2483" spans="20:21" x14ac:dyDescent="0.45">
      <c r="T2483" s="17"/>
      <c r="U2483" s="1"/>
    </row>
    <row r="2484" spans="20:21" x14ac:dyDescent="0.45">
      <c r="T2484" s="17"/>
      <c r="U2484" s="1"/>
    </row>
    <row r="2485" spans="20:21" x14ac:dyDescent="0.45">
      <c r="T2485" s="17"/>
      <c r="U2485" s="1"/>
    </row>
    <row r="2486" spans="20:21" x14ac:dyDescent="0.45">
      <c r="T2486" s="17"/>
      <c r="U2486" s="1"/>
    </row>
    <row r="2487" spans="20:21" x14ac:dyDescent="0.45">
      <c r="T2487" s="17"/>
      <c r="U2487" s="1"/>
    </row>
    <row r="2488" spans="20:21" x14ac:dyDescent="0.45">
      <c r="T2488" s="17"/>
      <c r="U2488" s="1"/>
    </row>
    <row r="2489" spans="20:21" x14ac:dyDescent="0.45">
      <c r="T2489" s="17"/>
      <c r="U2489" s="1"/>
    </row>
    <row r="2490" spans="20:21" x14ac:dyDescent="0.45">
      <c r="T2490" s="17"/>
      <c r="U2490" s="1"/>
    </row>
    <row r="2491" spans="20:21" x14ac:dyDescent="0.45">
      <c r="T2491" s="17"/>
      <c r="U2491" s="1"/>
    </row>
    <row r="2492" spans="20:21" x14ac:dyDescent="0.45">
      <c r="T2492" s="17"/>
      <c r="U2492" s="1"/>
    </row>
    <row r="2493" spans="20:21" x14ac:dyDescent="0.45">
      <c r="T2493" s="17"/>
      <c r="U2493" s="1"/>
    </row>
    <row r="2494" spans="20:21" x14ac:dyDescent="0.45">
      <c r="T2494" s="17"/>
      <c r="U2494" s="1"/>
    </row>
    <row r="2495" spans="20:21" x14ac:dyDescent="0.45">
      <c r="T2495" s="17"/>
      <c r="U2495" s="1"/>
    </row>
    <row r="2496" spans="20:21" x14ac:dyDescent="0.45">
      <c r="T2496" s="17"/>
      <c r="U2496" s="1"/>
    </row>
    <row r="2497" spans="20:21" x14ac:dyDescent="0.45">
      <c r="T2497" s="17"/>
      <c r="U2497" s="1"/>
    </row>
    <row r="2498" spans="20:21" x14ac:dyDescent="0.45">
      <c r="T2498" s="17"/>
      <c r="U2498" s="1"/>
    </row>
    <row r="2499" spans="20:21" x14ac:dyDescent="0.45">
      <c r="T2499" s="17"/>
      <c r="U2499" s="1"/>
    </row>
    <row r="2500" spans="20:21" x14ac:dyDescent="0.45">
      <c r="T2500" s="17"/>
      <c r="U2500" s="1"/>
    </row>
    <row r="2501" spans="20:21" x14ac:dyDescent="0.45">
      <c r="T2501" s="17"/>
      <c r="U2501" s="1"/>
    </row>
    <row r="2502" spans="20:21" x14ac:dyDescent="0.45">
      <c r="T2502" s="17"/>
      <c r="U2502" s="1"/>
    </row>
    <row r="2503" spans="20:21" x14ac:dyDescent="0.45">
      <c r="T2503" s="17"/>
      <c r="U2503" s="1"/>
    </row>
    <row r="2504" spans="20:21" x14ac:dyDescent="0.45">
      <c r="T2504" s="17"/>
      <c r="U2504" s="1"/>
    </row>
    <row r="2505" spans="20:21" x14ac:dyDescent="0.45">
      <c r="T2505" s="17"/>
      <c r="U2505" s="1"/>
    </row>
    <row r="2506" spans="20:21" x14ac:dyDescent="0.45">
      <c r="T2506" s="17"/>
      <c r="U2506" s="1"/>
    </row>
    <row r="2507" spans="20:21" x14ac:dyDescent="0.45">
      <c r="T2507" s="17"/>
      <c r="U2507" s="1"/>
    </row>
    <row r="2508" spans="20:21" x14ac:dyDescent="0.45">
      <c r="T2508" s="17"/>
      <c r="U2508" s="1"/>
    </row>
    <row r="2509" spans="20:21" x14ac:dyDescent="0.45">
      <c r="T2509" s="17"/>
      <c r="U2509" s="1"/>
    </row>
    <row r="2510" spans="20:21" x14ac:dyDescent="0.45">
      <c r="T2510" s="17"/>
      <c r="U2510" s="1"/>
    </row>
    <row r="2511" spans="20:21" x14ac:dyDescent="0.45">
      <c r="T2511" s="17"/>
      <c r="U2511" s="1"/>
    </row>
    <row r="2512" spans="20:21" x14ac:dyDescent="0.45">
      <c r="T2512" s="17"/>
      <c r="U2512" s="1"/>
    </row>
    <row r="2513" spans="20:21" x14ac:dyDescent="0.45">
      <c r="T2513" s="17"/>
      <c r="U2513" s="1"/>
    </row>
    <row r="2514" spans="20:21" x14ac:dyDescent="0.45">
      <c r="T2514" s="17"/>
      <c r="U2514" s="1"/>
    </row>
    <row r="2515" spans="20:21" x14ac:dyDescent="0.45">
      <c r="T2515" s="17"/>
      <c r="U2515" s="1"/>
    </row>
    <row r="2516" spans="20:21" x14ac:dyDescent="0.45">
      <c r="T2516" s="17"/>
      <c r="U2516" s="1"/>
    </row>
    <row r="2517" spans="20:21" x14ac:dyDescent="0.45">
      <c r="T2517" s="17"/>
      <c r="U2517" s="1"/>
    </row>
    <row r="2518" spans="20:21" x14ac:dyDescent="0.45">
      <c r="T2518" s="17"/>
      <c r="U2518" s="1"/>
    </row>
    <row r="2519" spans="20:21" x14ac:dyDescent="0.45">
      <c r="T2519" s="17"/>
      <c r="U2519" s="1"/>
    </row>
    <row r="2520" spans="20:21" x14ac:dyDescent="0.45">
      <c r="T2520" s="17"/>
      <c r="U2520" s="1"/>
    </row>
    <row r="2521" spans="20:21" x14ac:dyDescent="0.45">
      <c r="T2521" s="17"/>
      <c r="U2521" s="1"/>
    </row>
    <row r="2522" spans="20:21" x14ac:dyDescent="0.45">
      <c r="T2522" s="17"/>
      <c r="U2522" s="1"/>
    </row>
    <row r="2523" spans="20:21" x14ac:dyDescent="0.45">
      <c r="T2523" s="17"/>
      <c r="U2523" s="1"/>
    </row>
    <row r="2524" spans="20:21" x14ac:dyDescent="0.45">
      <c r="T2524" s="17"/>
      <c r="U2524" s="1"/>
    </row>
    <row r="2525" spans="20:21" x14ac:dyDescent="0.45">
      <c r="T2525" s="17"/>
      <c r="U2525" s="1"/>
    </row>
    <row r="2526" spans="20:21" x14ac:dyDescent="0.45">
      <c r="T2526" s="17"/>
      <c r="U2526" s="1"/>
    </row>
    <row r="2527" spans="20:21" x14ac:dyDescent="0.45">
      <c r="T2527" s="17"/>
      <c r="U2527" s="1"/>
    </row>
    <row r="2528" spans="20:21" x14ac:dyDescent="0.45">
      <c r="T2528" s="17"/>
      <c r="U2528" s="1"/>
    </row>
    <row r="2529" spans="20:21" x14ac:dyDescent="0.45">
      <c r="T2529" s="17"/>
      <c r="U2529" s="1"/>
    </row>
    <row r="2530" spans="20:21" x14ac:dyDescent="0.45">
      <c r="T2530" s="17"/>
      <c r="U2530" s="1"/>
    </row>
    <row r="2531" spans="20:21" x14ac:dyDescent="0.45">
      <c r="T2531" s="17"/>
      <c r="U2531" s="1"/>
    </row>
    <row r="2532" spans="20:21" x14ac:dyDescent="0.45">
      <c r="T2532" s="17"/>
      <c r="U2532" s="1"/>
    </row>
    <row r="2533" spans="20:21" x14ac:dyDescent="0.45">
      <c r="T2533" s="17"/>
      <c r="U2533" s="1"/>
    </row>
    <row r="2534" spans="20:21" x14ac:dyDescent="0.45">
      <c r="T2534" s="17"/>
      <c r="U2534" s="1"/>
    </row>
    <row r="2535" spans="20:21" x14ac:dyDescent="0.45">
      <c r="T2535" s="17"/>
      <c r="U2535" s="1"/>
    </row>
    <row r="2536" spans="20:21" x14ac:dyDescent="0.45">
      <c r="T2536" s="17"/>
      <c r="U2536" s="1"/>
    </row>
    <row r="2537" spans="20:21" x14ac:dyDescent="0.45">
      <c r="T2537" s="17"/>
      <c r="U2537" s="1"/>
    </row>
    <row r="2538" spans="20:21" x14ac:dyDescent="0.45">
      <c r="T2538" s="17"/>
      <c r="U2538" s="1"/>
    </row>
    <row r="2539" spans="20:21" x14ac:dyDescent="0.45">
      <c r="T2539" s="17"/>
      <c r="U2539" s="1"/>
    </row>
    <row r="2540" spans="20:21" x14ac:dyDescent="0.45">
      <c r="T2540" s="17"/>
      <c r="U2540" s="1"/>
    </row>
    <row r="2541" spans="20:21" x14ac:dyDescent="0.45">
      <c r="T2541" s="17"/>
      <c r="U2541" s="1"/>
    </row>
    <row r="2542" spans="20:21" x14ac:dyDescent="0.45">
      <c r="T2542" s="17"/>
      <c r="U2542" s="1"/>
    </row>
    <row r="2543" spans="20:21" x14ac:dyDescent="0.45">
      <c r="T2543" s="17"/>
      <c r="U2543" s="1"/>
    </row>
    <row r="2544" spans="20:21" x14ac:dyDescent="0.45">
      <c r="T2544" s="17"/>
      <c r="U2544" s="1"/>
    </row>
    <row r="2545" spans="20:21" x14ac:dyDescent="0.45">
      <c r="T2545" s="17"/>
      <c r="U2545" s="1"/>
    </row>
    <row r="2546" spans="20:21" x14ac:dyDescent="0.45">
      <c r="T2546" s="17"/>
      <c r="U2546" s="1"/>
    </row>
    <row r="2547" spans="20:21" x14ac:dyDescent="0.45">
      <c r="T2547" s="17"/>
      <c r="U2547" s="1"/>
    </row>
    <row r="2548" spans="20:21" x14ac:dyDescent="0.45">
      <c r="T2548" s="17"/>
      <c r="U2548" s="1"/>
    </row>
    <row r="2549" spans="20:21" x14ac:dyDescent="0.45">
      <c r="T2549" s="17"/>
      <c r="U2549" s="1"/>
    </row>
    <row r="2550" spans="20:21" x14ac:dyDescent="0.45">
      <c r="T2550" s="17"/>
      <c r="U2550" s="1"/>
    </row>
    <row r="2551" spans="20:21" x14ac:dyDescent="0.45">
      <c r="T2551" s="17"/>
      <c r="U2551" s="1"/>
    </row>
    <row r="2552" spans="20:21" x14ac:dyDescent="0.45">
      <c r="T2552" s="17"/>
      <c r="U2552" s="1"/>
    </row>
    <row r="2553" spans="20:21" x14ac:dyDescent="0.45">
      <c r="T2553" s="17"/>
      <c r="U2553" s="1"/>
    </row>
    <row r="2554" spans="20:21" x14ac:dyDescent="0.45">
      <c r="T2554" s="17"/>
      <c r="U2554" s="1"/>
    </row>
    <row r="2555" spans="20:21" x14ac:dyDescent="0.45">
      <c r="T2555" s="17"/>
      <c r="U2555" s="1"/>
    </row>
    <row r="2556" spans="20:21" x14ac:dyDescent="0.45">
      <c r="T2556" s="17"/>
      <c r="U2556" s="1"/>
    </row>
    <row r="2557" spans="20:21" x14ac:dyDescent="0.45">
      <c r="T2557" s="17"/>
      <c r="U2557" s="1"/>
    </row>
    <row r="2558" spans="20:21" x14ac:dyDescent="0.45">
      <c r="T2558" s="17"/>
      <c r="U2558" s="1"/>
    </row>
    <row r="2559" spans="20:21" x14ac:dyDescent="0.45">
      <c r="T2559" s="17"/>
      <c r="U2559" s="1"/>
    </row>
    <row r="2560" spans="20:21" x14ac:dyDescent="0.45">
      <c r="T2560" s="17"/>
      <c r="U2560" s="1"/>
    </row>
    <row r="2561" spans="20:21" x14ac:dyDescent="0.45">
      <c r="T2561" s="17"/>
      <c r="U2561" s="1"/>
    </row>
    <row r="2562" spans="20:21" x14ac:dyDescent="0.45">
      <c r="T2562" s="17"/>
      <c r="U2562" s="1"/>
    </row>
    <row r="2563" spans="20:21" x14ac:dyDescent="0.45">
      <c r="T2563" s="17"/>
      <c r="U2563" s="1"/>
    </row>
    <row r="2564" spans="20:21" x14ac:dyDescent="0.45">
      <c r="T2564" s="17"/>
      <c r="U2564" s="1"/>
    </row>
    <row r="2565" spans="20:21" x14ac:dyDescent="0.45">
      <c r="T2565" s="17"/>
      <c r="U2565" s="1"/>
    </row>
    <row r="2566" spans="20:21" x14ac:dyDescent="0.45">
      <c r="T2566" s="17"/>
      <c r="U2566" s="1"/>
    </row>
    <row r="2567" spans="20:21" x14ac:dyDescent="0.45">
      <c r="T2567" s="17"/>
      <c r="U2567" s="1"/>
    </row>
    <row r="2568" spans="20:21" x14ac:dyDescent="0.45">
      <c r="T2568" s="17"/>
      <c r="U2568" s="1"/>
    </row>
    <row r="2569" spans="20:21" x14ac:dyDescent="0.45">
      <c r="T2569" s="17"/>
      <c r="U2569" s="1"/>
    </row>
    <row r="2570" spans="20:21" x14ac:dyDescent="0.45">
      <c r="T2570" s="17"/>
      <c r="U2570" s="1"/>
    </row>
    <row r="2571" spans="20:21" x14ac:dyDescent="0.45">
      <c r="T2571" s="17"/>
      <c r="U2571" s="1"/>
    </row>
    <row r="2572" spans="20:21" x14ac:dyDescent="0.45">
      <c r="T2572" s="17"/>
      <c r="U2572" s="1"/>
    </row>
    <row r="2573" spans="20:21" x14ac:dyDescent="0.45">
      <c r="T2573" s="17"/>
      <c r="U2573" s="1"/>
    </row>
    <row r="2574" spans="20:21" x14ac:dyDescent="0.45">
      <c r="T2574" s="17"/>
      <c r="U2574" s="1"/>
    </row>
    <row r="2575" spans="20:21" x14ac:dyDescent="0.45">
      <c r="T2575" s="17"/>
      <c r="U2575" s="1"/>
    </row>
    <row r="2576" spans="20:21" x14ac:dyDescent="0.45">
      <c r="T2576" s="17"/>
      <c r="U2576" s="1"/>
    </row>
    <row r="2577" spans="20:21" x14ac:dyDescent="0.45">
      <c r="T2577" s="17"/>
      <c r="U2577" s="1"/>
    </row>
    <row r="2578" spans="20:21" x14ac:dyDescent="0.45">
      <c r="T2578" s="17"/>
      <c r="U2578" s="1"/>
    </row>
    <row r="2579" spans="20:21" x14ac:dyDescent="0.45">
      <c r="T2579" s="17"/>
      <c r="U2579" s="1"/>
    </row>
    <row r="2580" spans="20:21" x14ac:dyDescent="0.45">
      <c r="T2580" s="17"/>
      <c r="U2580" s="1"/>
    </row>
    <row r="2581" spans="20:21" x14ac:dyDescent="0.45">
      <c r="T2581" s="17"/>
      <c r="U2581" s="1"/>
    </row>
    <row r="2582" spans="20:21" x14ac:dyDescent="0.45">
      <c r="T2582" s="17"/>
      <c r="U2582" s="1"/>
    </row>
    <row r="2583" spans="20:21" x14ac:dyDescent="0.45">
      <c r="T2583" s="17"/>
      <c r="U2583" s="1"/>
    </row>
    <row r="2584" spans="20:21" x14ac:dyDescent="0.45">
      <c r="T2584" s="17"/>
      <c r="U2584" s="1"/>
    </row>
    <row r="2585" spans="20:21" x14ac:dyDescent="0.45">
      <c r="T2585" s="17"/>
      <c r="U2585" s="1"/>
    </row>
    <row r="2586" spans="20:21" x14ac:dyDescent="0.45">
      <c r="T2586" s="17"/>
      <c r="U2586" s="1"/>
    </row>
    <row r="2587" spans="20:21" x14ac:dyDescent="0.45">
      <c r="T2587" s="17"/>
      <c r="U2587" s="1"/>
    </row>
    <row r="2588" spans="20:21" x14ac:dyDescent="0.45">
      <c r="T2588" s="17"/>
      <c r="U2588" s="1"/>
    </row>
    <row r="2589" spans="20:21" x14ac:dyDescent="0.45">
      <c r="T2589" s="17"/>
      <c r="U2589" s="1"/>
    </row>
    <row r="2590" spans="20:21" x14ac:dyDescent="0.45">
      <c r="T2590" s="17"/>
      <c r="U2590" s="1"/>
    </row>
    <row r="2591" spans="20:21" x14ac:dyDescent="0.45">
      <c r="T2591" s="17"/>
      <c r="U2591" s="1"/>
    </row>
    <row r="2592" spans="20:21" x14ac:dyDescent="0.45">
      <c r="T2592" s="17"/>
      <c r="U2592" s="1"/>
    </row>
    <row r="2593" spans="20:21" x14ac:dyDescent="0.45">
      <c r="T2593" s="17"/>
      <c r="U2593" s="1"/>
    </row>
    <row r="2594" spans="20:21" x14ac:dyDescent="0.45">
      <c r="T2594" s="17"/>
      <c r="U2594" s="1"/>
    </row>
    <row r="2595" spans="20:21" x14ac:dyDescent="0.45">
      <c r="T2595" s="17"/>
      <c r="U2595" s="1"/>
    </row>
    <row r="2596" spans="20:21" x14ac:dyDescent="0.45">
      <c r="T2596" s="17"/>
      <c r="U2596" s="1"/>
    </row>
    <row r="2597" spans="20:21" x14ac:dyDescent="0.45">
      <c r="T2597" s="17"/>
      <c r="U2597" s="1"/>
    </row>
    <row r="2598" spans="20:21" x14ac:dyDescent="0.45">
      <c r="T2598" s="17"/>
      <c r="U2598" s="1"/>
    </row>
    <row r="2599" spans="20:21" x14ac:dyDescent="0.45">
      <c r="T2599" s="17"/>
      <c r="U2599" s="1"/>
    </row>
    <row r="2600" spans="20:21" x14ac:dyDescent="0.45">
      <c r="T2600" s="17"/>
      <c r="U2600" s="1"/>
    </row>
    <row r="2601" spans="20:21" x14ac:dyDescent="0.45">
      <c r="T2601" s="17"/>
      <c r="U2601" s="1"/>
    </row>
    <row r="2602" spans="20:21" x14ac:dyDescent="0.45">
      <c r="T2602" s="17"/>
      <c r="U2602" s="1"/>
    </row>
    <row r="2603" spans="20:21" x14ac:dyDescent="0.45">
      <c r="T2603" s="17"/>
      <c r="U2603" s="1"/>
    </row>
    <row r="2604" spans="20:21" x14ac:dyDescent="0.45">
      <c r="T2604" s="17"/>
      <c r="U2604" s="1"/>
    </row>
    <row r="2605" spans="20:21" x14ac:dyDescent="0.45">
      <c r="T2605" s="17"/>
      <c r="U2605" s="1"/>
    </row>
    <row r="2606" spans="20:21" x14ac:dyDescent="0.45">
      <c r="T2606" s="17"/>
      <c r="U2606" s="1"/>
    </row>
    <row r="2607" spans="20:21" x14ac:dyDescent="0.45">
      <c r="T2607" s="17"/>
      <c r="U2607" s="1"/>
    </row>
    <row r="2608" spans="20:21" x14ac:dyDescent="0.45">
      <c r="T2608" s="17"/>
      <c r="U2608" s="1"/>
    </row>
    <row r="2609" spans="20:21" x14ac:dyDescent="0.45">
      <c r="T2609" s="17"/>
      <c r="U2609" s="1"/>
    </row>
    <row r="2610" spans="20:21" x14ac:dyDescent="0.45">
      <c r="T2610" s="17"/>
      <c r="U2610" s="1"/>
    </row>
    <row r="2611" spans="20:21" x14ac:dyDescent="0.45">
      <c r="T2611" s="17"/>
      <c r="U2611" s="1"/>
    </row>
    <row r="2612" spans="20:21" x14ac:dyDescent="0.45">
      <c r="T2612" s="17"/>
      <c r="U2612" s="1"/>
    </row>
    <row r="2613" spans="20:21" x14ac:dyDescent="0.45">
      <c r="T2613" s="17"/>
      <c r="U2613" s="1"/>
    </row>
    <row r="2614" spans="20:21" x14ac:dyDescent="0.45">
      <c r="T2614" s="17"/>
      <c r="U2614" s="1"/>
    </row>
    <row r="2615" spans="20:21" x14ac:dyDescent="0.45">
      <c r="T2615" s="17"/>
      <c r="U2615" s="1"/>
    </row>
    <row r="2616" spans="20:21" x14ac:dyDescent="0.45">
      <c r="T2616" s="17"/>
      <c r="U2616" s="1"/>
    </row>
    <row r="2617" spans="20:21" x14ac:dyDescent="0.45">
      <c r="T2617" s="17"/>
      <c r="U2617" s="1"/>
    </row>
    <row r="2618" spans="20:21" x14ac:dyDescent="0.45">
      <c r="T2618" s="17"/>
      <c r="U2618" s="1"/>
    </row>
    <row r="2619" spans="20:21" x14ac:dyDescent="0.45">
      <c r="T2619" s="17"/>
      <c r="U2619" s="1"/>
    </row>
    <row r="2620" spans="20:21" x14ac:dyDescent="0.45">
      <c r="T2620" s="17"/>
      <c r="U2620" s="1"/>
    </row>
    <row r="2621" spans="20:21" x14ac:dyDescent="0.45">
      <c r="T2621" s="17"/>
      <c r="U2621" s="1"/>
    </row>
    <row r="2622" spans="20:21" x14ac:dyDescent="0.45">
      <c r="T2622" s="17"/>
      <c r="U2622" s="1"/>
    </row>
    <row r="2623" spans="20:21" x14ac:dyDescent="0.45">
      <c r="T2623" s="17"/>
      <c r="U2623" s="1"/>
    </row>
    <row r="2624" spans="20:21" x14ac:dyDescent="0.45">
      <c r="T2624" s="17"/>
      <c r="U2624" s="1"/>
    </row>
    <row r="2625" spans="20:21" x14ac:dyDescent="0.45">
      <c r="T2625" s="17"/>
      <c r="U2625" s="1"/>
    </row>
    <row r="2626" spans="20:21" x14ac:dyDescent="0.45">
      <c r="T2626" s="17"/>
      <c r="U2626" s="1"/>
    </row>
    <row r="2627" spans="20:21" x14ac:dyDescent="0.45">
      <c r="T2627" s="17"/>
      <c r="U2627" s="1"/>
    </row>
    <row r="2628" spans="20:21" x14ac:dyDescent="0.45">
      <c r="T2628" s="17"/>
      <c r="U2628" s="1"/>
    </row>
    <row r="2629" spans="20:21" x14ac:dyDescent="0.45">
      <c r="T2629" s="17"/>
      <c r="U2629" s="1"/>
    </row>
    <row r="2630" spans="20:21" x14ac:dyDescent="0.45">
      <c r="T2630" s="17"/>
      <c r="U2630" s="1"/>
    </row>
    <row r="2631" spans="20:21" x14ac:dyDescent="0.45">
      <c r="T2631" s="17"/>
      <c r="U2631" s="1"/>
    </row>
    <row r="2632" spans="20:21" x14ac:dyDescent="0.45">
      <c r="T2632" s="17"/>
      <c r="U2632" s="1"/>
    </row>
    <row r="2633" spans="20:21" x14ac:dyDescent="0.45">
      <c r="T2633" s="17"/>
      <c r="U2633" s="1"/>
    </row>
    <row r="2634" spans="20:21" x14ac:dyDescent="0.45">
      <c r="T2634" s="17"/>
      <c r="U2634" s="1"/>
    </row>
    <row r="2635" spans="20:21" x14ac:dyDescent="0.45">
      <c r="T2635" s="17"/>
      <c r="U2635" s="1"/>
    </row>
    <row r="2636" spans="20:21" x14ac:dyDescent="0.45">
      <c r="T2636" s="17"/>
      <c r="U2636" s="1"/>
    </row>
    <row r="2637" spans="20:21" x14ac:dyDescent="0.45">
      <c r="T2637" s="17"/>
      <c r="U2637" s="1"/>
    </row>
    <row r="2638" spans="20:21" x14ac:dyDescent="0.45">
      <c r="T2638" s="17"/>
      <c r="U2638" s="1"/>
    </row>
    <row r="2639" spans="20:21" x14ac:dyDescent="0.45">
      <c r="T2639" s="17"/>
      <c r="U2639" s="1"/>
    </row>
    <row r="2640" spans="20:21" x14ac:dyDescent="0.45">
      <c r="T2640" s="17"/>
      <c r="U2640" s="1"/>
    </row>
    <row r="2641" spans="20:21" x14ac:dyDescent="0.45">
      <c r="T2641" s="17"/>
      <c r="U2641" s="1"/>
    </row>
    <row r="2642" spans="20:21" x14ac:dyDescent="0.45">
      <c r="T2642" s="17"/>
      <c r="U2642" s="1"/>
    </row>
    <row r="2643" spans="20:21" x14ac:dyDescent="0.45">
      <c r="T2643" s="17"/>
      <c r="U2643" s="1"/>
    </row>
    <row r="2644" spans="20:21" x14ac:dyDescent="0.45">
      <c r="T2644" s="17"/>
      <c r="U2644" s="1"/>
    </row>
    <row r="2645" spans="20:21" x14ac:dyDescent="0.45">
      <c r="T2645" s="17"/>
      <c r="U2645" s="1"/>
    </row>
    <row r="2646" spans="20:21" x14ac:dyDescent="0.45">
      <c r="T2646" s="17"/>
      <c r="U2646" s="1"/>
    </row>
    <row r="2647" spans="20:21" x14ac:dyDescent="0.45">
      <c r="T2647" s="17"/>
      <c r="U2647" s="1"/>
    </row>
    <row r="2648" spans="20:21" x14ac:dyDescent="0.45">
      <c r="T2648" s="17"/>
      <c r="U2648" s="1"/>
    </row>
    <row r="2649" spans="20:21" x14ac:dyDescent="0.45">
      <c r="T2649" s="17"/>
      <c r="U2649" s="1"/>
    </row>
    <row r="2650" spans="20:21" x14ac:dyDescent="0.45">
      <c r="T2650" s="17"/>
      <c r="U2650" s="1"/>
    </row>
    <row r="2651" spans="20:21" x14ac:dyDescent="0.45">
      <c r="T2651" s="17"/>
      <c r="U2651" s="1"/>
    </row>
    <row r="2652" spans="20:21" x14ac:dyDescent="0.45">
      <c r="T2652" s="17"/>
      <c r="U2652" s="1"/>
    </row>
    <row r="2653" spans="20:21" x14ac:dyDescent="0.45">
      <c r="T2653" s="17"/>
      <c r="U2653" s="1"/>
    </row>
    <row r="2654" spans="20:21" x14ac:dyDescent="0.45">
      <c r="T2654" s="17"/>
      <c r="U2654" s="1"/>
    </row>
    <row r="2655" spans="20:21" x14ac:dyDescent="0.45">
      <c r="T2655" s="17"/>
      <c r="U2655" s="1"/>
    </row>
    <row r="2656" spans="20:21" x14ac:dyDescent="0.45">
      <c r="T2656" s="17"/>
      <c r="U2656" s="1"/>
    </row>
    <row r="2657" spans="20:21" x14ac:dyDescent="0.45">
      <c r="T2657" s="17"/>
      <c r="U2657" s="1"/>
    </row>
    <row r="2658" spans="20:21" x14ac:dyDescent="0.45">
      <c r="T2658" s="17"/>
      <c r="U2658" s="1"/>
    </row>
    <row r="2659" spans="20:21" x14ac:dyDescent="0.45">
      <c r="T2659" s="17"/>
      <c r="U2659" s="1"/>
    </row>
    <row r="2660" spans="20:21" x14ac:dyDescent="0.45">
      <c r="T2660" s="17"/>
      <c r="U2660" s="1"/>
    </row>
    <row r="2661" spans="20:21" x14ac:dyDescent="0.45">
      <c r="T2661" s="17"/>
      <c r="U2661" s="1"/>
    </row>
    <row r="2662" spans="20:21" x14ac:dyDescent="0.45">
      <c r="T2662" s="17"/>
      <c r="U2662" s="1"/>
    </row>
    <row r="2663" spans="20:21" x14ac:dyDescent="0.45">
      <c r="T2663" s="17"/>
      <c r="U2663" s="1"/>
    </row>
    <row r="2664" spans="20:21" x14ac:dyDescent="0.45">
      <c r="T2664" s="17"/>
      <c r="U2664" s="1"/>
    </row>
    <row r="2665" spans="20:21" x14ac:dyDescent="0.45">
      <c r="T2665" s="17"/>
      <c r="U2665" s="1"/>
    </row>
    <row r="2666" spans="20:21" x14ac:dyDescent="0.45">
      <c r="T2666" s="17"/>
      <c r="U2666" s="1"/>
    </row>
    <row r="2667" spans="20:21" x14ac:dyDescent="0.45">
      <c r="T2667" s="17"/>
      <c r="U2667" s="1"/>
    </row>
    <row r="2668" spans="20:21" x14ac:dyDescent="0.45">
      <c r="T2668" s="17"/>
      <c r="U2668" s="1"/>
    </row>
    <row r="2669" spans="20:21" x14ac:dyDescent="0.45">
      <c r="T2669" s="17"/>
      <c r="U2669" s="1"/>
    </row>
    <row r="2670" spans="20:21" x14ac:dyDescent="0.45">
      <c r="T2670" s="17"/>
      <c r="U2670" s="1"/>
    </row>
    <row r="2671" spans="20:21" x14ac:dyDescent="0.45">
      <c r="T2671" s="17"/>
      <c r="U2671" s="1"/>
    </row>
    <row r="2672" spans="20:21" x14ac:dyDescent="0.45">
      <c r="T2672" s="17"/>
      <c r="U2672" s="1"/>
    </row>
    <row r="2673" spans="20:21" x14ac:dyDescent="0.45">
      <c r="T2673" s="17"/>
      <c r="U2673" s="1"/>
    </row>
    <row r="2674" spans="20:21" x14ac:dyDescent="0.45">
      <c r="T2674" s="17"/>
      <c r="U2674" s="1"/>
    </row>
    <row r="2675" spans="20:21" x14ac:dyDescent="0.45">
      <c r="T2675" s="17"/>
      <c r="U2675" s="1"/>
    </row>
    <row r="2676" spans="20:21" x14ac:dyDescent="0.45">
      <c r="T2676" s="17"/>
      <c r="U2676" s="1"/>
    </row>
    <row r="2677" spans="20:21" x14ac:dyDescent="0.45">
      <c r="T2677" s="17"/>
      <c r="U2677" s="1"/>
    </row>
    <row r="2678" spans="20:21" x14ac:dyDescent="0.45">
      <c r="T2678" s="17"/>
      <c r="U2678" s="1"/>
    </row>
    <row r="2679" spans="20:21" x14ac:dyDescent="0.45">
      <c r="T2679" s="17"/>
      <c r="U2679" s="1"/>
    </row>
    <row r="2680" spans="20:21" x14ac:dyDescent="0.45">
      <c r="T2680" s="17"/>
      <c r="U2680" s="1"/>
    </row>
    <row r="2681" spans="20:21" x14ac:dyDescent="0.45">
      <c r="T2681" s="17"/>
      <c r="U2681" s="1"/>
    </row>
    <row r="2682" spans="20:21" x14ac:dyDescent="0.45">
      <c r="T2682" s="17"/>
      <c r="U2682" s="1"/>
    </row>
    <row r="2683" spans="20:21" x14ac:dyDescent="0.45">
      <c r="T2683" s="17"/>
      <c r="U2683" s="1"/>
    </row>
    <row r="2684" spans="20:21" x14ac:dyDescent="0.45">
      <c r="T2684" s="17"/>
      <c r="U2684" s="1"/>
    </row>
    <row r="2685" spans="20:21" x14ac:dyDescent="0.45">
      <c r="T2685" s="17"/>
      <c r="U2685" s="1"/>
    </row>
    <row r="2686" spans="20:21" x14ac:dyDescent="0.45">
      <c r="T2686" s="17"/>
      <c r="U2686" s="1"/>
    </row>
    <row r="2687" spans="20:21" x14ac:dyDescent="0.45">
      <c r="T2687" s="17"/>
      <c r="U2687" s="1"/>
    </row>
    <row r="2688" spans="20:21" x14ac:dyDescent="0.45">
      <c r="T2688" s="17"/>
      <c r="U2688" s="1"/>
    </row>
    <row r="2689" spans="20:21" x14ac:dyDescent="0.45">
      <c r="T2689" s="17"/>
      <c r="U2689" s="1"/>
    </row>
    <row r="2690" spans="20:21" x14ac:dyDescent="0.45">
      <c r="T2690" s="17"/>
      <c r="U2690" s="1"/>
    </row>
    <row r="2691" spans="20:21" x14ac:dyDescent="0.45">
      <c r="T2691" s="17"/>
      <c r="U2691" s="1"/>
    </row>
    <row r="2692" spans="20:21" x14ac:dyDescent="0.45">
      <c r="T2692" s="17"/>
      <c r="U2692" s="1"/>
    </row>
    <row r="2693" spans="20:21" x14ac:dyDescent="0.45">
      <c r="T2693" s="17"/>
      <c r="U2693" s="1"/>
    </row>
    <row r="2694" spans="20:21" x14ac:dyDescent="0.45">
      <c r="T2694" s="17"/>
      <c r="U2694" s="1"/>
    </row>
    <row r="2695" spans="20:21" x14ac:dyDescent="0.45">
      <c r="T2695" s="17"/>
      <c r="U2695" s="1"/>
    </row>
    <row r="2696" spans="20:21" x14ac:dyDescent="0.45">
      <c r="T2696" s="17"/>
      <c r="U2696" s="1"/>
    </row>
    <row r="2697" spans="20:21" x14ac:dyDescent="0.45">
      <c r="T2697" s="17"/>
      <c r="U2697" s="1"/>
    </row>
    <row r="2698" spans="20:21" x14ac:dyDescent="0.45">
      <c r="T2698" s="17"/>
      <c r="U2698" s="1"/>
    </row>
    <row r="2699" spans="20:21" x14ac:dyDescent="0.45">
      <c r="T2699" s="17"/>
      <c r="U2699" s="1"/>
    </row>
    <row r="2700" spans="20:21" x14ac:dyDescent="0.45">
      <c r="T2700" s="17"/>
      <c r="U2700" s="1"/>
    </row>
    <row r="2701" spans="20:21" x14ac:dyDescent="0.45">
      <c r="T2701" s="17"/>
      <c r="U2701" s="1"/>
    </row>
    <row r="2702" spans="20:21" x14ac:dyDescent="0.45">
      <c r="T2702" s="17"/>
      <c r="U2702" s="1"/>
    </row>
    <row r="2703" spans="20:21" x14ac:dyDescent="0.45">
      <c r="T2703" s="17"/>
      <c r="U2703" s="1"/>
    </row>
    <row r="2704" spans="20:21" x14ac:dyDescent="0.45">
      <c r="T2704" s="17"/>
      <c r="U2704" s="1"/>
    </row>
    <row r="2705" spans="20:21" x14ac:dyDescent="0.45">
      <c r="T2705" s="17"/>
      <c r="U2705" s="1"/>
    </row>
    <row r="2706" spans="20:21" x14ac:dyDescent="0.45">
      <c r="T2706" s="17"/>
      <c r="U2706" s="1"/>
    </row>
    <row r="2707" spans="20:21" x14ac:dyDescent="0.45">
      <c r="T2707" s="17"/>
      <c r="U2707" s="1"/>
    </row>
    <row r="2708" spans="20:21" x14ac:dyDescent="0.45">
      <c r="T2708" s="17"/>
      <c r="U2708" s="1"/>
    </row>
    <row r="2709" spans="20:21" x14ac:dyDescent="0.45">
      <c r="T2709" s="17"/>
      <c r="U2709" s="1"/>
    </row>
    <row r="2710" spans="20:21" x14ac:dyDescent="0.45">
      <c r="T2710" s="17"/>
      <c r="U2710" s="1"/>
    </row>
    <row r="2711" spans="20:21" x14ac:dyDescent="0.45">
      <c r="T2711" s="17"/>
      <c r="U2711" s="1"/>
    </row>
    <row r="2712" spans="20:21" x14ac:dyDescent="0.45">
      <c r="T2712" s="17"/>
      <c r="U2712" s="1"/>
    </row>
    <row r="2713" spans="20:21" x14ac:dyDescent="0.45">
      <c r="T2713" s="17"/>
      <c r="U2713" s="1"/>
    </row>
    <row r="2714" spans="20:21" x14ac:dyDescent="0.45">
      <c r="T2714" s="17"/>
      <c r="U2714" s="1"/>
    </row>
    <row r="2715" spans="20:21" x14ac:dyDescent="0.45">
      <c r="T2715" s="17"/>
      <c r="U2715" s="1"/>
    </row>
    <row r="2716" spans="20:21" x14ac:dyDescent="0.45">
      <c r="T2716" s="17"/>
      <c r="U2716" s="1"/>
    </row>
    <row r="2717" spans="20:21" x14ac:dyDescent="0.45">
      <c r="T2717" s="17"/>
      <c r="U2717" s="1"/>
    </row>
    <row r="2718" spans="20:21" x14ac:dyDescent="0.45">
      <c r="T2718" s="17"/>
      <c r="U2718" s="1"/>
    </row>
    <row r="2719" spans="20:21" x14ac:dyDescent="0.45">
      <c r="T2719" s="17"/>
      <c r="U2719" s="1"/>
    </row>
    <row r="2720" spans="20:21" x14ac:dyDescent="0.45">
      <c r="T2720" s="17"/>
      <c r="U2720" s="1"/>
    </row>
    <row r="2721" spans="20:21" x14ac:dyDescent="0.45">
      <c r="T2721" s="17"/>
      <c r="U2721" s="1"/>
    </row>
    <row r="2722" spans="20:21" x14ac:dyDescent="0.45">
      <c r="T2722" s="17"/>
      <c r="U2722" s="1"/>
    </row>
    <row r="2723" spans="20:21" x14ac:dyDescent="0.45">
      <c r="T2723" s="17"/>
      <c r="U2723" s="1"/>
    </row>
    <row r="2724" spans="20:21" x14ac:dyDescent="0.45">
      <c r="T2724" s="17"/>
      <c r="U2724" s="1"/>
    </row>
    <row r="2725" spans="20:21" x14ac:dyDescent="0.45">
      <c r="T2725" s="17"/>
      <c r="U2725" s="1"/>
    </row>
    <row r="2726" spans="20:21" x14ac:dyDescent="0.45">
      <c r="T2726" s="17"/>
      <c r="U2726" s="1"/>
    </row>
    <row r="2727" spans="20:21" x14ac:dyDescent="0.45">
      <c r="T2727" s="17"/>
      <c r="U2727" s="1"/>
    </row>
    <row r="2728" spans="20:21" x14ac:dyDescent="0.45">
      <c r="T2728" s="17"/>
      <c r="U2728" s="1"/>
    </row>
    <row r="2729" spans="20:21" x14ac:dyDescent="0.45">
      <c r="T2729" s="17"/>
      <c r="U2729" s="1"/>
    </row>
    <row r="2730" spans="20:21" x14ac:dyDescent="0.45">
      <c r="T2730" s="17"/>
      <c r="U2730" s="1"/>
    </row>
    <row r="2731" spans="20:21" x14ac:dyDescent="0.45">
      <c r="T2731" s="17"/>
      <c r="U2731" s="1"/>
    </row>
    <row r="2732" spans="20:21" x14ac:dyDescent="0.45">
      <c r="T2732" s="17"/>
      <c r="U2732" s="1"/>
    </row>
    <row r="2733" spans="20:21" x14ac:dyDescent="0.45">
      <c r="T2733" s="17"/>
      <c r="U2733" s="1"/>
    </row>
    <row r="2734" spans="20:21" x14ac:dyDescent="0.45">
      <c r="T2734" s="17"/>
      <c r="U2734" s="1"/>
    </row>
    <row r="2735" spans="20:21" x14ac:dyDescent="0.45">
      <c r="T2735" s="17"/>
      <c r="U2735" s="1"/>
    </row>
    <row r="2736" spans="20:21" x14ac:dyDescent="0.45">
      <c r="T2736" s="17"/>
      <c r="U2736" s="1"/>
    </row>
    <row r="2737" spans="20:21" x14ac:dyDescent="0.45">
      <c r="T2737" s="17"/>
      <c r="U2737" s="1"/>
    </row>
    <row r="2738" spans="20:21" x14ac:dyDescent="0.45">
      <c r="T2738" s="17"/>
      <c r="U2738" s="1"/>
    </row>
    <row r="2739" spans="20:21" x14ac:dyDescent="0.45">
      <c r="T2739" s="17"/>
      <c r="U2739" s="1"/>
    </row>
    <row r="2740" spans="20:21" x14ac:dyDescent="0.45">
      <c r="T2740" s="17"/>
      <c r="U2740" s="1"/>
    </row>
    <row r="2741" spans="20:21" x14ac:dyDescent="0.45">
      <c r="T2741" s="17"/>
      <c r="U2741" s="1"/>
    </row>
    <row r="2742" spans="20:21" x14ac:dyDescent="0.45">
      <c r="T2742" s="17"/>
      <c r="U2742" s="1"/>
    </row>
    <row r="2743" spans="20:21" x14ac:dyDescent="0.45">
      <c r="T2743" s="17"/>
      <c r="U2743" s="1"/>
    </row>
    <row r="2744" spans="20:21" x14ac:dyDescent="0.45">
      <c r="T2744" s="17"/>
      <c r="U2744" s="1"/>
    </row>
    <row r="2745" spans="20:21" x14ac:dyDescent="0.45">
      <c r="T2745" s="17"/>
      <c r="U2745" s="1"/>
    </row>
    <row r="2746" spans="20:21" x14ac:dyDescent="0.45">
      <c r="T2746" s="17"/>
      <c r="U2746" s="1"/>
    </row>
    <row r="2747" spans="20:21" x14ac:dyDescent="0.45">
      <c r="T2747" s="17"/>
      <c r="U2747" s="1"/>
    </row>
    <row r="2748" spans="20:21" x14ac:dyDescent="0.45">
      <c r="T2748" s="17"/>
      <c r="U2748" s="1"/>
    </row>
    <row r="2749" spans="20:21" x14ac:dyDescent="0.45">
      <c r="T2749" s="17"/>
      <c r="U2749" s="1"/>
    </row>
    <row r="2750" spans="20:21" x14ac:dyDescent="0.45">
      <c r="T2750" s="17"/>
      <c r="U2750" s="1"/>
    </row>
    <row r="2751" spans="20:21" x14ac:dyDescent="0.45">
      <c r="T2751" s="17"/>
      <c r="U2751" s="1"/>
    </row>
    <row r="2752" spans="20:21" x14ac:dyDescent="0.45">
      <c r="T2752" s="17"/>
      <c r="U2752" s="1"/>
    </row>
    <row r="2753" spans="20:21" x14ac:dyDescent="0.45">
      <c r="T2753" s="17"/>
      <c r="U2753" s="1"/>
    </row>
    <row r="2754" spans="20:21" x14ac:dyDescent="0.45">
      <c r="T2754" s="17"/>
      <c r="U2754" s="1"/>
    </row>
    <row r="2755" spans="20:21" x14ac:dyDescent="0.45">
      <c r="T2755" s="17"/>
      <c r="U2755" s="1"/>
    </row>
    <row r="2756" spans="20:21" x14ac:dyDescent="0.45">
      <c r="T2756" s="17"/>
      <c r="U2756" s="1"/>
    </row>
    <row r="2757" spans="20:21" x14ac:dyDescent="0.45">
      <c r="T2757" s="17"/>
      <c r="U2757" s="1"/>
    </row>
    <row r="2758" spans="20:21" x14ac:dyDescent="0.45">
      <c r="T2758" s="17"/>
      <c r="U2758" s="1"/>
    </row>
    <row r="2759" spans="20:21" x14ac:dyDescent="0.45">
      <c r="T2759" s="17"/>
      <c r="U2759" s="1"/>
    </row>
    <row r="2760" spans="20:21" x14ac:dyDescent="0.45">
      <c r="T2760" s="17"/>
      <c r="U2760" s="1"/>
    </row>
    <row r="2761" spans="20:21" x14ac:dyDescent="0.45">
      <c r="T2761" s="17"/>
      <c r="U2761" s="1"/>
    </row>
    <row r="2762" spans="20:21" x14ac:dyDescent="0.45">
      <c r="T2762" s="17"/>
      <c r="U2762" s="1"/>
    </row>
    <row r="2763" spans="20:21" x14ac:dyDescent="0.45">
      <c r="T2763" s="17"/>
      <c r="U2763" s="1"/>
    </row>
    <row r="2764" spans="20:21" x14ac:dyDescent="0.45">
      <c r="T2764" s="17"/>
      <c r="U2764" s="1"/>
    </row>
    <row r="2765" spans="20:21" x14ac:dyDescent="0.45">
      <c r="T2765" s="17"/>
      <c r="U2765" s="1"/>
    </row>
    <row r="2766" spans="20:21" x14ac:dyDescent="0.45">
      <c r="T2766" s="17"/>
      <c r="U2766" s="1"/>
    </row>
    <row r="2767" spans="20:21" x14ac:dyDescent="0.45">
      <c r="T2767" s="17"/>
      <c r="U2767" s="1"/>
    </row>
    <row r="2768" spans="20:21" x14ac:dyDescent="0.45">
      <c r="T2768" s="17"/>
      <c r="U2768" s="1"/>
    </row>
    <row r="2769" spans="20:21" x14ac:dyDescent="0.45">
      <c r="T2769" s="17"/>
      <c r="U2769" s="1"/>
    </row>
    <row r="2770" spans="20:21" x14ac:dyDescent="0.45">
      <c r="T2770" s="17"/>
      <c r="U2770" s="1"/>
    </row>
    <row r="2771" spans="20:21" x14ac:dyDescent="0.45">
      <c r="T2771" s="17"/>
      <c r="U2771" s="1"/>
    </row>
    <row r="2772" spans="20:21" x14ac:dyDescent="0.45">
      <c r="T2772" s="17"/>
      <c r="U2772" s="1"/>
    </row>
    <row r="2773" spans="20:21" x14ac:dyDescent="0.45">
      <c r="T2773" s="17"/>
      <c r="U2773" s="1"/>
    </row>
    <row r="2774" spans="20:21" x14ac:dyDescent="0.45">
      <c r="T2774" s="17"/>
      <c r="U2774" s="1"/>
    </row>
    <row r="2775" spans="20:21" x14ac:dyDescent="0.45">
      <c r="T2775" s="17"/>
      <c r="U2775" s="1"/>
    </row>
    <row r="2776" spans="20:21" x14ac:dyDescent="0.45">
      <c r="T2776" s="17"/>
      <c r="U2776" s="1"/>
    </row>
    <row r="2777" spans="20:21" x14ac:dyDescent="0.45">
      <c r="T2777" s="17"/>
      <c r="U2777" s="1"/>
    </row>
    <row r="2778" spans="20:21" x14ac:dyDescent="0.45">
      <c r="T2778" s="17"/>
      <c r="U2778" s="1"/>
    </row>
    <row r="2779" spans="20:21" x14ac:dyDescent="0.45">
      <c r="T2779" s="17"/>
      <c r="U2779" s="1"/>
    </row>
    <row r="2780" spans="20:21" x14ac:dyDescent="0.45">
      <c r="T2780" s="17"/>
      <c r="U2780" s="1"/>
    </row>
    <row r="2781" spans="20:21" x14ac:dyDescent="0.45">
      <c r="T2781" s="17"/>
      <c r="U2781" s="1"/>
    </row>
    <row r="2782" spans="20:21" x14ac:dyDescent="0.45">
      <c r="T2782" s="17"/>
      <c r="U2782" s="1"/>
    </row>
    <row r="2783" spans="20:21" x14ac:dyDescent="0.45">
      <c r="T2783" s="17"/>
      <c r="U2783" s="1"/>
    </row>
    <row r="2784" spans="20:21" x14ac:dyDescent="0.45">
      <c r="T2784" s="17"/>
      <c r="U2784" s="1"/>
    </row>
    <row r="2785" spans="20:21" x14ac:dyDescent="0.45">
      <c r="T2785" s="17"/>
      <c r="U2785" s="1"/>
    </row>
    <row r="2786" spans="20:21" x14ac:dyDescent="0.45">
      <c r="T2786" s="17"/>
      <c r="U2786" s="1"/>
    </row>
    <row r="2787" spans="20:21" x14ac:dyDescent="0.45">
      <c r="T2787" s="17"/>
      <c r="U2787" s="1"/>
    </row>
    <row r="2788" spans="20:21" x14ac:dyDescent="0.45">
      <c r="T2788" s="17"/>
      <c r="U2788" s="1"/>
    </row>
    <row r="2789" spans="20:21" x14ac:dyDescent="0.45">
      <c r="T2789" s="17"/>
      <c r="U2789" s="1"/>
    </row>
    <row r="2790" spans="20:21" x14ac:dyDescent="0.45">
      <c r="T2790" s="17"/>
      <c r="U2790" s="1"/>
    </row>
    <row r="2791" spans="20:21" x14ac:dyDescent="0.45">
      <c r="T2791" s="17"/>
      <c r="U2791" s="1"/>
    </row>
    <row r="2792" spans="20:21" x14ac:dyDescent="0.45">
      <c r="T2792" s="17"/>
      <c r="U2792" s="1"/>
    </row>
    <row r="2793" spans="20:21" x14ac:dyDescent="0.45">
      <c r="T2793" s="17"/>
      <c r="U2793" s="1"/>
    </row>
    <row r="2794" spans="20:21" x14ac:dyDescent="0.45">
      <c r="T2794" s="17"/>
      <c r="U2794" s="1"/>
    </row>
    <row r="2795" spans="20:21" x14ac:dyDescent="0.45">
      <c r="T2795" s="17"/>
      <c r="U2795" s="1"/>
    </row>
    <row r="2796" spans="20:21" x14ac:dyDescent="0.45">
      <c r="T2796" s="17"/>
      <c r="U2796" s="1"/>
    </row>
    <row r="2797" spans="20:21" x14ac:dyDescent="0.45">
      <c r="T2797" s="17"/>
      <c r="U2797" s="1"/>
    </row>
    <row r="2798" spans="20:21" x14ac:dyDescent="0.45">
      <c r="T2798" s="17"/>
      <c r="U2798" s="1"/>
    </row>
    <row r="2799" spans="20:21" x14ac:dyDescent="0.45">
      <c r="T2799" s="17"/>
      <c r="U2799" s="1"/>
    </row>
    <row r="2800" spans="20:21" x14ac:dyDescent="0.45">
      <c r="T2800" s="17"/>
      <c r="U2800" s="1"/>
    </row>
    <row r="2801" spans="20:21" x14ac:dyDescent="0.45">
      <c r="T2801" s="17"/>
      <c r="U2801" s="1"/>
    </row>
    <row r="2802" spans="20:21" x14ac:dyDescent="0.45">
      <c r="T2802" s="17"/>
      <c r="U2802" s="1"/>
    </row>
    <row r="2803" spans="20:21" x14ac:dyDescent="0.45">
      <c r="T2803" s="17"/>
      <c r="U2803" s="1"/>
    </row>
    <row r="2804" spans="20:21" x14ac:dyDescent="0.45">
      <c r="T2804" s="17"/>
      <c r="U2804" s="1"/>
    </row>
    <row r="2805" spans="20:21" x14ac:dyDescent="0.45">
      <c r="T2805" s="17"/>
      <c r="U2805" s="1"/>
    </row>
    <row r="2806" spans="20:21" x14ac:dyDescent="0.45">
      <c r="T2806" s="17"/>
      <c r="U2806" s="1"/>
    </row>
    <row r="2807" spans="20:21" x14ac:dyDescent="0.45">
      <c r="T2807" s="17"/>
      <c r="U2807" s="1"/>
    </row>
    <row r="2808" spans="20:21" x14ac:dyDescent="0.45">
      <c r="T2808" s="17"/>
      <c r="U2808" s="1"/>
    </row>
    <row r="2809" spans="20:21" x14ac:dyDescent="0.45">
      <c r="T2809" s="17"/>
      <c r="U2809" s="1"/>
    </row>
    <row r="2810" spans="20:21" x14ac:dyDescent="0.45">
      <c r="T2810" s="17"/>
      <c r="U2810" s="1"/>
    </row>
    <row r="2811" spans="20:21" x14ac:dyDescent="0.45">
      <c r="T2811" s="17"/>
      <c r="U2811" s="1"/>
    </row>
    <row r="2812" spans="20:21" x14ac:dyDescent="0.45">
      <c r="T2812" s="17"/>
      <c r="U2812" s="1"/>
    </row>
    <row r="2813" spans="20:21" x14ac:dyDescent="0.45">
      <c r="T2813" s="17"/>
      <c r="U2813" s="1"/>
    </row>
    <row r="2814" spans="20:21" x14ac:dyDescent="0.45">
      <c r="T2814" s="17"/>
      <c r="U2814" s="1"/>
    </row>
    <row r="2815" spans="20:21" x14ac:dyDescent="0.45">
      <c r="T2815" s="17"/>
      <c r="U2815" s="1"/>
    </row>
    <row r="2816" spans="20:21" x14ac:dyDescent="0.45">
      <c r="T2816" s="17"/>
      <c r="U2816" s="1"/>
    </row>
    <row r="2817" spans="20:21" x14ac:dyDescent="0.45">
      <c r="T2817" s="17"/>
      <c r="U2817" s="1"/>
    </row>
    <row r="2818" spans="20:21" x14ac:dyDescent="0.45">
      <c r="T2818" s="17"/>
      <c r="U2818" s="1"/>
    </row>
    <row r="2819" spans="20:21" x14ac:dyDescent="0.45">
      <c r="T2819" s="17"/>
      <c r="U2819" s="1"/>
    </row>
    <row r="2820" spans="20:21" x14ac:dyDescent="0.45">
      <c r="T2820" s="17"/>
      <c r="U2820" s="1"/>
    </row>
    <row r="2821" spans="20:21" x14ac:dyDescent="0.45">
      <c r="T2821" s="17"/>
      <c r="U2821" s="1"/>
    </row>
    <row r="2822" spans="20:21" x14ac:dyDescent="0.45">
      <c r="T2822" s="17"/>
      <c r="U2822" s="1"/>
    </row>
    <row r="2823" spans="20:21" x14ac:dyDescent="0.45">
      <c r="T2823" s="17"/>
      <c r="U2823" s="1"/>
    </row>
    <row r="2824" spans="20:21" x14ac:dyDescent="0.45">
      <c r="T2824" s="17"/>
      <c r="U2824" s="1"/>
    </row>
    <row r="2825" spans="20:21" x14ac:dyDescent="0.45">
      <c r="T2825" s="17"/>
      <c r="U2825" s="1"/>
    </row>
    <row r="2826" spans="20:21" x14ac:dyDescent="0.45">
      <c r="T2826" s="17"/>
      <c r="U2826" s="1"/>
    </row>
    <row r="2827" spans="20:21" x14ac:dyDescent="0.45">
      <c r="T2827" s="17"/>
      <c r="U2827" s="1"/>
    </row>
    <row r="2828" spans="20:21" x14ac:dyDescent="0.45">
      <c r="T2828" s="17"/>
      <c r="U2828" s="1"/>
    </row>
    <row r="2829" spans="20:21" x14ac:dyDescent="0.45">
      <c r="T2829" s="17"/>
      <c r="U2829" s="1"/>
    </row>
    <row r="2830" spans="20:21" x14ac:dyDescent="0.45">
      <c r="T2830" s="17"/>
      <c r="U2830" s="1"/>
    </row>
    <row r="2831" spans="20:21" x14ac:dyDescent="0.45">
      <c r="T2831" s="17"/>
      <c r="U2831" s="1"/>
    </row>
    <row r="2832" spans="20:21" x14ac:dyDescent="0.45">
      <c r="T2832" s="17"/>
      <c r="U2832" s="1"/>
    </row>
    <row r="2833" spans="20:21" x14ac:dyDescent="0.45">
      <c r="T2833" s="17"/>
      <c r="U2833" s="1"/>
    </row>
    <row r="2834" spans="20:21" x14ac:dyDescent="0.45">
      <c r="T2834" s="17"/>
      <c r="U2834" s="1"/>
    </row>
    <row r="2835" spans="20:21" x14ac:dyDescent="0.45">
      <c r="T2835" s="17"/>
      <c r="U2835" s="1"/>
    </row>
    <row r="2836" spans="20:21" x14ac:dyDescent="0.45">
      <c r="T2836" s="17"/>
      <c r="U2836" s="1"/>
    </row>
    <row r="2837" spans="20:21" x14ac:dyDescent="0.45">
      <c r="T2837" s="17"/>
      <c r="U2837" s="1"/>
    </row>
    <row r="2838" spans="20:21" x14ac:dyDescent="0.45">
      <c r="T2838" s="17"/>
      <c r="U2838" s="1"/>
    </row>
    <row r="2839" spans="20:21" x14ac:dyDescent="0.45">
      <c r="T2839" s="17"/>
      <c r="U2839" s="1"/>
    </row>
    <row r="2840" spans="20:21" x14ac:dyDescent="0.45">
      <c r="T2840" s="17"/>
      <c r="U2840" s="1"/>
    </row>
    <row r="2841" spans="20:21" x14ac:dyDescent="0.45">
      <c r="T2841" s="17"/>
      <c r="U2841" s="1"/>
    </row>
    <row r="2842" spans="20:21" x14ac:dyDescent="0.45">
      <c r="T2842" s="17"/>
      <c r="U2842" s="1"/>
    </row>
    <row r="2843" spans="20:21" x14ac:dyDescent="0.45">
      <c r="T2843" s="17"/>
      <c r="U2843" s="1"/>
    </row>
    <row r="2844" spans="20:21" x14ac:dyDescent="0.45">
      <c r="T2844" s="17"/>
      <c r="U2844" s="1"/>
    </row>
    <row r="2845" spans="20:21" x14ac:dyDescent="0.45">
      <c r="T2845" s="17"/>
      <c r="U2845" s="1"/>
    </row>
    <row r="2846" spans="20:21" x14ac:dyDescent="0.45">
      <c r="T2846" s="17"/>
      <c r="U2846" s="1"/>
    </row>
    <row r="2847" spans="20:21" x14ac:dyDescent="0.45">
      <c r="T2847" s="17"/>
      <c r="U2847" s="1"/>
    </row>
    <row r="2848" spans="20:21" x14ac:dyDescent="0.45">
      <c r="T2848" s="17"/>
      <c r="U2848" s="1"/>
    </row>
    <row r="2849" spans="20:21" x14ac:dyDescent="0.45">
      <c r="T2849" s="17"/>
      <c r="U2849" s="1"/>
    </row>
    <row r="2850" spans="20:21" x14ac:dyDescent="0.45">
      <c r="T2850" s="17"/>
      <c r="U2850" s="1"/>
    </row>
    <row r="2851" spans="20:21" x14ac:dyDescent="0.45">
      <c r="T2851" s="17"/>
      <c r="U2851" s="1"/>
    </row>
    <row r="2852" spans="20:21" x14ac:dyDescent="0.45">
      <c r="T2852" s="17"/>
      <c r="U2852" s="1"/>
    </row>
    <row r="2853" spans="20:21" x14ac:dyDescent="0.45">
      <c r="T2853" s="17"/>
      <c r="U2853" s="1"/>
    </row>
    <row r="2854" spans="20:21" x14ac:dyDescent="0.45">
      <c r="T2854" s="17"/>
      <c r="U2854" s="1"/>
    </row>
    <row r="2855" spans="20:21" x14ac:dyDescent="0.45">
      <c r="T2855" s="17"/>
      <c r="U2855" s="1"/>
    </row>
    <row r="2856" spans="20:21" x14ac:dyDescent="0.45">
      <c r="T2856" s="17"/>
      <c r="U2856" s="1"/>
    </row>
    <row r="2857" spans="20:21" x14ac:dyDescent="0.45">
      <c r="T2857" s="17"/>
      <c r="U2857" s="1"/>
    </row>
    <row r="2858" spans="20:21" x14ac:dyDescent="0.45">
      <c r="T2858" s="17"/>
      <c r="U2858" s="1"/>
    </row>
    <row r="2859" spans="20:21" x14ac:dyDescent="0.45">
      <c r="T2859" s="17"/>
      <c r="U2859" s="1"/>
    </row>
    <row r="2860" spans="20:21" x14ac:dyDescent="0.45">
      <c r="T2860" s="17"/>
      <c r="U2860" s="1"/>
    </row>
    <row r="2861" spans="20:21" x14ac:dyDescent="0.45">
      <c r="T2861" s="17"/>
      <c r="U2861" s="1"/>
    </row>
    <row r="2862" spans="20:21" x14ac:dyDescent="0.45">
      <c r="T2862" s="17"/>
      <c r="U2862" s="1"/>
    </row>
    <row r="2863" spans="20:21" x14ac:dyDescent="0.45">
      <c r="T2863" s="17"/>
      <c r="U2863" s="1"/>
    </row>
    <row r="2864" spans="20:21" x14ac:dyDescent="0.45">
      <c r="T2864" s="17"/>
      <c r="U2864" s="1"/>
    </row>
    <row r="2865" spans="20:21" x14ac:dyDescent="0.45">
      <c r="T2865" s="17"/>
      <c r="U2865" s="1"/>
    </row>
    <row r="2866" spans="20:21" x14ac:dyDescent="0.45">
      <c r="T2866" s="17"/>
      <c r="U2866" s="1"/>
    </row>
    <row r="2867" spans="20:21" x14ac:dyDescent="0.45">
      <c r="T2867" s="17"/>
      <c r="U2867" s="1"/>
    </row>
    <row r="2868" spans="20:21" x14ac:dyDescent="0.45">
      <c r="T2868" s="17"/>
      <c r="U2868" s="1"/>
    </row>
    <row r="2869" spans="20:21" x14ac:dyDescent="0.45">
      <c r="T2869" s="17"/>
      <c r="U2869" s="1"/>
    </row>
    <row r="2870" spans="20:21" x14ac:dyDescent="0.45">
      <c r="T2870" s="17"/>
      <c r="U2870" s="1"/>
    </row>
    <row r="2871" spans="20:21" x14ac:dyDescent="0.45">
      <c r="T2871" s="17"/>
      <c r="U2871" s="1"/>
    </row>
    <row r="2872" spans="20:21" x14ac:dyDescent="0.45">
      <c r="T2872" s="17"/>
      <c r="U2872" s="1"/>
    </row>
    <row r="2873" spans="20:21" x14ac:dyDescent="0.45">
      <c r="T2873" s="17"/>
      <c r="U2873" s="1"/>
    </row>
    <row r="2874" spans="20:21" x14ac:dyDescent="0.45">
      <c r="T2874" s="17"/>
      <c r="U2874" s="1"/>
    </row>
    <row r="2875" spans="20:21" x14ac:dyDescent="0.45">
      <c r="T2875" s="17"/>
      <c r="U2875" s="1"/>
    </row>
    <row r="2876" spans="20:21" x14ac:dyDescent="0.45">
      <c r="T2876" s="17"/>
      <c r="U2876" s="1"/>
    </row>
    <row r="2877" spans="20:21" x14ac:dyDescent="0.45">
      <c r="T2877" s="17"/>
      <c r="U2877" s="1"/>
    </row>
    <row r="2878" spans="20:21" x14ac:dyDescent="0.45">
      <c r="T2878" s="17"/>
      <c r="U2878" s="1"/>
    </row>
    <row r="2879" spans="20:21" x14ac:dyDescent="0.45">
      <c r="T2879" s="17"/>
      <c r="U2879" s="1"/>
    </row>
    <row r="2880" spans="20:21" x14ac:dyDescent="0.45">
      <c r="T2880" s="17"/>
      <c r="U2880" s="1"/>
    </row>
    <row r="2881" spans="20:21" x14ac:dyDescent="0.45">
      <c r="T2881" s="17"/>
      <c r="U2881" s="1"/>
    </row>
    <row r="2882" spans="20:21" x14ac:dyDescent="0.45">
      <c r="T2882" s="17"/>
      <c r="U2882" s="1"/>
    </row>
    <row r="2883" spans="20:21" x14ac:dyDescent="0.45">
      <c r="T2883" s="17"/>
      <c r="U2883" s="1"/>
    </row>
    <row r="2884" spans="20:21" x14ac:dyDescent="0.45">
      <c r="T2884" s="17"/>
      <c r="U2884" s="1"/>
    </row>
    <row r="2885" spans="20:21" x14ac:dyDescent="0.45">
      <c r="T2885" s="17"/>
      <c r="U2885" s="1"/>
    </row>
    <row r="2886" spans="20:21" x14ac:dyDescent="0.45">
      <c r="T2886" s="17"/>
      <c r="U2886" s="1"/>
    </row>
    <row r="2887" spans="20:21" x14ac:dyDescent="0.45">
      <c r="T2887" s="17"/>
      <c r="U2887" s="1"/>
    </row>
    <row r="2888" spans="20:21" x14ac:dyDescent="0.45">
      <c r="T2888" s="17"/>
      <c r="U2888" s="1"/>
    </row>
    <row r="2889" spans="20:21" x14ac:dyDescent="0.45">
      <c r="T2889" s="17"/>
      <c r="U2889" s="1"/>
    </row>
    <row r="2890" spans="20:21" x14ac:dyDescent="0.45">
      <c r="T2890" s="17"/>
      <c r="U2890" s="1"/>
    </row>
    <row r="2891" spans="20:21" x14ac:dyDescent="0.45">
      <c r="T2891" s="17"/>
      <c r="U2891" s="1"/>
    </row>
    <row r="2892" spans="20:21" x14ac:dyDescent="0.45">
      <c r="T2892" s="17"/>
      <c r="U2892" s="1"/>
    </row>
    <row r="2893" spans="20:21" x14ac:dyDescent="0.45">
      <c r="T2893" s="17"/>
      <c r="U2893" s="1"/>
    </row>
    <row r="2894" spans="20:21" x14ac:dyDescent="0.45">
      <c r="T2894" s="17"/>
      <c r="U2894" s="1"/>
    </row>
    <row r="2895" spans="20:21" x14ac:dyDescent="0.45">
      <c r="T2895" s="17"/>
      <c r="U2895" s="1"/>
    </row>
    <row r="2896" spans="20:21" x14ac:dyDescent="0.45">
      <c r="T2896" s="17"/>
      <c r="U2896" s="1"/>
    </row>
    <row r="2897" spans="20:21" x14ac:dyDescent="0.45">
      <c r="T2897" s="17"/>
      <c r="U2897" s="1"/>
    </row>
    <row r="2898" spans="20:21" x14ac:dyDescent="0.45">
      <c r="T2898" s="17"/>
      <c r="U2898" s="1"/>
    </row>
    <row r="2899" spans="20:21" x14ac:dyDescent="0.45">
      <c r="T2899" s="17"/>
      <c r="U2899" s="1"/>
    </row>
    <row r="2900" spans="20:21" x14ac:dyDescent="0.45">
      <c r="T2900" s="17"/>
      <c r="U2900" s="1"/>
    </row>
    <row r="2901" spans="20:21" x14ac:dyDescent="0.45">
      <c r="T2901" s="17"/>
      <c r="U2901" s="1"/>
    </row>
    <row r="2902" spans="20:21" x14ac:dyDescent="0.45">
      <c r="T2902" s="17"/>
      <c r="U2902" s="1"/>
    </row>
    <row r="2903" spans="20:21" x14ac:dyDescent="0.45">
      <c r="T2903" s="17"/>
      <c r="U2903" s="1"/>
    </row>
    <row r="2904" spans="20:21" x14ac:dyDescent="0.45">
      <c r="T2904" s="17"/>
      <c r="U2904" s="1"/>
    </row>
    <row r="2905" spans="20:21" x14ac:dyDescent="0.45">
      <c r="T2905" s="17"/>
      <c r="U2905" s="1"/>
    </row>
    <row r="2906" spans="20:21" x14ac:dyDescent="0.45">
      <c r="T2906" s="17"/>
      <c r="U2906" s="1"/>
    </row>
    <row r="2907" spans="20:21" x14ac:dyDescent="0.45">
      <c r="T2907" s="17"/>
      <c r="U2907" s="1"/>
    </row>
    <row r="2908" spans="20:21" x14ac:dyDescent="0.45">
      <c r="T2908" s="17"/>
      <c r="U2908" s="1"/>
    </row>
    <row r="2909" spans="20:21" x14ac:dyDescent="0.45">
      <c r="T2909" s="17"/>
      <c r="U2909" s="1"/>
    </row>
    <row r="2910" spans="20:21" x14ac:dyDescent="0.45">
      <c r="T2910" s="17"/>
      <c r="U2910" s="1"/>
    </row>
    <row r="2911" spans="20:21" x14ac:dyDescent="0.45">
      <c r="T2911" s="17"/>
      <c r="U2911" s="1"/>
    </row>
    <row r="2912" spans="20:21" x14ac:dyDescent="0.45">
      <c r="T2912" s="17"/>
      <c r="U2912" s="1"/>
    </row>
    <row r="2913" spans="20:21" x14ac:dyDescent="0.45">
      <c r="T2913" s="17"/>
      <c r="U2913" s="1"/>
    </row>
    <row r="2914" spans="20:21" x14ac:dyDescent="0.45">
      <c r="T2914" s="17"/>
      <c r="U2914" s="1"/>
    </row>
    <row r="2915" spans="20:21" x14ac:dyDescent="0.45">
      <c r="T2915" s="17"/>
      <c r="U2915" s="1"/>
    </row>
    <row r="2916" spans="20:21" x14ac:dyDescent="0.45">
      <c r="T2916" s="17"/>
      <c r="U2916" s="1"/>
    </row>
    <row r="2917" spans="20:21" x14ac:dyDescent="0.45">
      <c r="T2917" s="17"/>
      <c r="U2917" s="1"/>
    </row>
    <row r="2918" spans="20:21" x14ac:dyDescent="0.45">
      <c r="T2918" s="17"/>
      <c r="U2918" s="1"/>
    </row>
    <row r="2919" spans="20:21" x14ac:dyDescent="0.45">
      <c r="T2919" s="17"/>
      <c r="U2919" s="1"/>
    </row>
    <row r="2920" spans="20:21" x14ac:dyDescent="0.45">
      <c r="T2920" s="17"/>
      <c r="U2920" s="1"/>
    </row>
    <row r="2921" spans="20:21" x14ac:dyDescent="0.45">
      <c r="T2921" s="17"/>
      <c r="U2921" s="1"/>
    </row>
    <row r="2922" spans="20:21" x14ac:dyDescent="0.45">
      <c r="T2922" s="17"/>
      <c r="U2922" s="1"/>
    </row>
    <row r="2923" spans="20:21" x14ac:dyDescent="0.45">
      <c r="T2923" s="17"/>
      <c r="U2923" s="1"/>
    </row>
    <row r="2924" spans="20:21" x14ac:dyDescent="0.45">
      <c r="T2924" s="17"/>
      <c r="U2924" s="1"/>
    </row>
    <row r="2925" spans="20:21" x14ac:dyDescent="0.45">
      <c r="T2925" s="17"/>
      <c r="U2925" s="1"/>
    </row>
    <row r="2926" spans="20:21" x14ac:dyDescent="0.45">
      <c r="T2926" s="17"/>
      <c r="U2926" s="1"/>
    </row>
    <row r="2927" spans="20:21" x14ac:dyDescent="0.45">
      <c r="T2927" s="17"/>
      <c r="U2927" s="1"/>
    </row>
    <row r="2928" spans="20:21" x14ac:dyDescent="0.45">
      <c r="T2928" s="17"/>
      <c r="U2928" s="1"/>
    </row>
    <row r="2929" spans="20:21" x14ac:dyDescent="0.45">
      <c r="T2929" s="17"/>
      <c r="U2929" s="1"/>
    </row>
    <row r="2930" spans="20:21" x14ac:dyDescent="0.45">
      <c r="T2930" s="17"/>
      <c r="U2930" s="1"/>
    </row>
    <row r="2931" spans="20:21" x14ac:dyDescent="0.45">
      <c r="T2931" s="17"/>
      <c r="U2931" s="1"/>
    </row>
    <row r="2932" spans="20:21" x14ac:dyDescent="0.45">
      <c r="T2932" s="17"/>
      <c r="U2932" s="1"/>
    </row>
    <row r="2933" spans="20:21" x14ac:dyDescent="0.45">
      <c r="T2933" s="17"/>
      <c r="U2933" s="1"/>
    </row>
    <row r="2934" spans="20:21" x14ac:dyDescent="0.45">
      <c r="T2934" s="17"/>
      <c r="U2934" s="1"/>
    </row>
    <row r="2935" spans="20:21" x14ac:dyDescent="0.45">
      <c r="T2935" s="17"/>
      <c r="U2935" s="1"/>
    </row>
    <row r="2936" spans="20:21" x14ac:dyDescent="0.45">
      <c r="T2936" s="17"/>
      <c r="U2936" s="1"/>
    </row>
    <row r="2937" spans="20:21" x14ac:dyDescent="0.45">
      <c r="T2937" s="17"/>
      <c r="U2937" s="1"/>
    </row>
    <row r="2938" spans="20:21" x14ac:dyDescent="0.45">
      <c r="T2938" s="17"/>
      <c r="U2938" s="1"/>
    </row>
    <row r="2939" spans="20:21" x14ac:dyDescent="0.45">
      <c r="T2939" s="17"/>
      <c r="U2939" s="1"/>
    </row>
    <row r="2940" spans="20:21" x14ac:dyDescent="0.45">
      <c r="T2940" s="17"/>
      <c r="U2940" s="1"/>
    </row>
    <row r="2941" spans="20:21" x14ac:dyDescent="0.45">
      <c r="T2941" s="17"/>
      <c r="U2941" s="1"/>
    </row>
    <row r="2942" spans="20:21" x14ac:dyDescent="0.45">
      <c r="T2942" s="17"/>
      <c r="U2942" s="1"/>
    </row>
    <row r="2943" spans="20:21" x14ac:dyDescent="0.45">
      <c r="T2943" s="17"/>
      <c r="U2943" s="1"/>
    </row>
    <row r="2944" spans="20:21" x14ac:dyDescent="0.45">
      <c r="T2944" s="17"/>
      <c r="U2944" s="1"/>
    </row>
    <row r="2945" spans="20:21" x14ac:dyDescent="0.45">
      <c r="T2945" s="17"/>
      <c r="U2945" s="1"/>
    </row>
    <row r="2946" spans="20:21" x14ac:dyDescent="0.45">
      <c r="T2946" s="17"/>
      <c r="U2946" s="1"/>
    </row>
    <row r="2947" spans="20:21" x14ac:dyDescent="0.45">
      <c r="T2947" s="17"/>
      <c r="U2947" s="1"/>
    </row>
    <row r="2948" spans="20:21" x14ac:dyDescent="0.45">
      <c r="T2948" s="17"/>
      <c r="U2948" s="1"/>
    </row>
    <row r="2949" spans="20:21" x14ac:dyDescent="0.45">
      <c r="T2949" s="17"/>
      <c r="U2949" s="1"/>
    </row>
    <row r="2950" spans="20:21" x14ac:dyDescent="0.45">
      <c r="T2950" s="17"/>
      <c r="U2950" s="1"/>
    </row>
    <row r="2951" spans="20:21" x14ac:dyDescent="0.45">
      <c r="T2951" s="17"/>
      <c r="U2951" s="1"/>
    </row>
    <row r="2952" spans="20:21" x14ac:dyDescent="0.45">
      <c r="T2952" s="17"/>
      <c r="U2952" s="1"/>
    </row>
    <row r="2953" spans="20:21" x14ac:dyDescent="0.45">
      <c r="T2953" s="17"/>
      <c r="U2953" s="1"/>
    </row>
    <row r="2954" spans="20:21" x14ac:dyDescent="0.45">
      <c r="T2954" s="17"/>
      <c r="U2954" s="1"/>
    </row>
    <row r="2955" spans="20:21" x14ac:dyDescent="0.45">
      <c r="T2955" s="17"/>
      <c r="U2955" s="1"/>
    </row>
    <row r="2956" spans="20:21" x14ac:dyDescent="0.45">
      <c r="T2956" s="17"/>
      <c r="U2956" s="1"/>
    </row>
    <row r="2957" spans="20:21" x14ac:dyDescent="0.45">
      <c r="T2957" s="17"/>
      <c r="U2957" s="1"/>
    </row>
    <row r="2958" spans="20:21" x14ac:dyDescent="0.45">
      <c r="T2958" s="17"/>
      <c r="U2958" s="1"/>
    </row>
    <row r="2959" spans="20:21" x14ac:dyDescent="0.45">
      <c r="T2959" s="17"/>
      <c r="U2959" s="1"/>
    </row>
    <row r="2960" spans="20:21" x14ac:dyDescent="0.45">
      <c r="T2960" s="17"/>
      <c r="U2960" s="1"/>
    </row>
    <row r="2961" spans="20:21" x14ac:dyDescent="0.45">
      <c r="T2961" s="17"/>
      <c r="U2961" s="1"/>
    </row>
    <row r="2962" spans="20:21" x14ac:dyDescent="0.45">
      <c r="T2962" s="17"/>
      <c r="U2962" s="1"/>
    </row>
    <row r="2963" spans="20:21" x14ac:dyDescent="0.45">
      <c r="T2963" s="17"/>
      <c r="U2963" s="1"/>
    </row>
    <row r="2964" spans="20:21" x14ac:dyDescent="0.45">
      <c r="T2964" s="17"/>
      <c r="U2964" s="1"/>
    </row>
    <row r="2965" spans="20:21" x14ac:dyDescent="0.45">
      <c r="T2965" s="17"/>
      <c r="U2965" s="1"/>
    </row>
    <row r="2966" spans="20:21" x14ac:dyDescent="0.45">
      <c r="T2966" s="17"/>
      <c r="U2966" s="1"/>
    </row>
    <row r="2967" spans="20:21" x14ac:dyDescent="0.45">
      <c r="T2967" s="17"/>
      <c r="U2967" s="1"/>
    </row>
    <row r="2968" spans="20:21" x14ac:dyDescent="0.45">
      <c r="T2968" s="17"/>
      <c r="U2968" s="1"/>
    </row>
    <row r="2969" spans="20:21" x14ac:dyDescent="0.45">
      <c r="T2969" s="17"/>
      <c r="U2969" s="1"/>
    </row>
    <row r="2970" spans="20:21" x14ac:dyDescent="0.45">
      <c r="T2970" s="17"/>
      <c r="U2970" s="1"/>
    </row>
    <row r="2971" spans="20:21" x14ac:dyDescent="0.45">
      <c r="T2971" s="17"/>
      <c r="U2971" s="1"/>
    </row>
    <row r="2972" spans="20:21" x14ac:dyDescent="0.45">
      <c r="T2972" s="17"/>
      <c r="U2972" s="1"/>
    </row>
    <row r="2973" spans="20:21" x14ac:dyDescent="0.45">
      <c r="T2973" s="17"/>
      <c r="U2973" s="1"/>
    </row>
    <row r="2974" spans="20:21" x14ac:dyDescent="0.45">
      <c r="T2974" s="17"/>
      <c r="U2974" s="1"/>
    </row>
    <row r="2975" spans="20:21" x14ac:dyDescent="0.45">
      <c r="T2975" s="17"/>
      <c r="U2975" s="1"/>
    </row>
    <row r="2976" spans="20:21" x14ac:dyDescent="0.45">
      <c r="T2976" s="17"/>
      <c r="U2976" s="1"/>
    </row>
    <row r="2977" spans="20:21" x14ac:dyDescent="0.45">
      <c r="T2977" s="17"/>
      <c r="U2977" s="1"/>
    </row>
    <row r="2978" spans="20:21" x14ac:dyDescent="0.45">
      <c r="T2978" s="17"/>
      <c r="U2978" s="1"/>
    </row>
    <row r="2979" spans="20:21" x14ac:dyDescent="0.45">
      <c r="T2979" s="17"/>
      <c r="U2979" s="1"/>
    </row>
    <row r="2980" spans="20:21" x14ac:dyDescent="0.45">
      <c r="T2980" s="17"/>
      <c r="U2980" s="1"/>
    </row>
    <row r="2981" spans="20:21" x14ac:dyDescent="0.45">
      <c r="T2981" s="17"/>
      <c r="U2981" s="1"/>
    </row>
    <row r="2982" spans="20:21" x14ac:dyDescent="0.45">
      <c r="T2982" s="17"/>
      <c r="U2982" s="1"/>
    </row>
    <row r="2983" spans="20:21" x14ac:dyDescent="0.45">
      <c r="T2983" s="17"/>
      <c r="U2983" s="1"/>
    </row>
    <row r="2984" spans="20:21" x14ac:dyDescent="0.45">
      <c r="T2984" s="17"/>
      <c r="U2984" s="1"/>
    </row>
    <row r="2985" spans="20:21" x14ac:dyDescent="0.45">
      <c r="T2985" s="17"/>
      <c r="U2985" s="1"/>
    </row>
    <row r="2986" spans="20:21" x14ac:dyDescent="0.45">
      <c r="T2986" s="17"/>
      <c r="U2986" s="1"/>
    </row>
    <row r="2987" spans="20:21" x14ac:dyDescent="0.45">
      <c r="T2987" s="17"/>
      <c r="U2987" s="1"/>
    </row>
    <row r="2988" spans="20:21" x14ac:dyDescent="0.45">
      <c r="T2988" s="17"/>
      <c r="U2988" s="1"/>
    </row>
    <row r="2989" spans="20:21" x14ac:dyDescent="0.45">
      <c r="T2989" s="17"/>
      <c r="U2989" s="1"/>
    </row>
    <row r="2990" spans="20:21" x14ac:dyDescent="0.45">
      <c r="T2990" s="17"/>
      <c r="U2990" s="1"/>
    </row>
    <row r="2991" spans="20:21" x14ac:dyDescent="0.45">
      <c r="T2991" s="17"/>
      <c r="U2991" s="1"/>
    </row>
    <row r="2992" spans="20:21" x14ac:dyDescent="0.45">
      <c r="T2992" s="17"/>
      <c r="U2992" s="1"/>
    </row>
    <row r="2993" spans="20:21" x14ac:dyDescent="0.45">
      <c r="T2993" s="17"/>
      <c r="U2993" s="1"/>
    </row>
    <row r="2994" spans="20:21" x14ac:dyDescent="0.45">
      <c r="T2994" s="17"/>
      <c r="U2994" s="1"/>
    </row>
    <row r="2995" spans="20:21" x14ac:dyDescent="0.45">
      <c r="T2995" s="17"/>
      <c r="U2995" s="1"/>
    </row>
    <row r="2996" spans="20:21" x14ac:dyDescent="0.45">
      <c r="T2996" s="17"/>
      <c r="U2996" s="1"/>
    </row>
    <row r="2997" spans="20:21" x14ac:dyDescent="0.45">
      <c r="T2997" s="17"/>
      <c r="U2997" s="1"/>
    </row>
    <row r="2998" spans="20:21" x14ac:dyDescent="0.45">
      <c r="T2998" s="17"/>
      <c r="U2998" s="1"/>
    </row>
    <row r="2999" spans="20:21" x14ac:dyDescent="0.45">
      <c r="T2999" s="17"/>
      <c r="U2999" s="1"/>
    </row>
    <row r="3000" spans="20:21" x14ac:dyDescent="0.45">
      <c r="T3000" s="17"/>
      <c r="U3000" s="1"/>
    </row>
    <row r="3001" spans="20:21" x14ac:dyDescent="0.45">
      <c r="T3001" s="17"/>
      <c r="U3001" s="1"/>
    </row>
    <row r="3002" spans="20:21" x14ac:dyDescent="0.45">
      <c r="T3002" s="17"/>
      <c r="U3002" s="1"/>
    </row>
    <row r="3003" spans="20:21" x14ac:dyDescent="0.45">
      <c r="T3003" s="17"/>
      <c r="U3003" s="1"/>
    </row>
    <row r="3004" spans="20:21" x14ac:dyDescent="0.45">
      <c r="T3004" s="17"/>
      <c r="U3004" s="1"/>
    </row>
    <row r="3005" spans="20:21" x14ac:dyDescent="0.45">
      <c r="T3005" s="17"/>
      <c r="U3005" s="1"/>
    </row>
    <row r="3006" spans="20:21" x14ac:dyDescent="0.45">
      <c r="T3006" s="17"/>
      <c r="U3006" s="1"/>
    </row>
    <row r="3007" spans="20:21" x14ac:dyDescent="0.45">
      <c r="T3007" s="17"/>
      <c r="U3007" s="1"/>
    </row>
    <row r="3008" spans="20:21" x14ac:dyDescent="0.45">
      <c r="T3008" s="17"/>
      <c r="U3008" s="1"/>
    </row>
    <row r="3009" spans="20:21" x14ac:dyDescent="0.45">
      <c r="T3009" s="17"/>
      <c r="U3009" s="1"/>
    </row>
    <row r="3010" spans="20:21" x14ac:dyDescent="0.45">
      <c r="T3010" s="17"/>
      <c r="U3010" s="1"/>
    </row>
    <row r="3011" spans="20:21" x14ac:dyDescent="0.45">
      <c r="T3011" s="17"/>
      <c r="U3011" s="1"/>
    </row>
    <row r="3012" spans="20:21" x14ac:dyDescent="0.45">
      <c r="T3012" s="17"/>
      <c r="U3012" s="1"/>
    </row>
    <row r="3013" spans="20:21" x14ac:dyDescent="0.45">
      <c r="T3013" s="17"/>
      <c r="U3013" s="1"/>
    </row>
    <row r="3014" spans="20:21" x14ac:dyDescent="0.45">
      <c r="T3014" s="17"/>
      <c r="U3014" s="1"/>
    </row>
    <row r="3015" spans="20:21" x14ac:dyDescent="0.45">
      <c r="T3015" s="17"/>
      <c r="U3015" s="1"/>
    </row>
    <row r="3016" spans="20:21" x14ac:dyDescent="0.45">
      <c r="T3016" s="17"/>
      <c r="U3016" s="1"/>
    </row>
    <row r="3017" spans="20:21" x14ac:dyDescent="0.45">
      <c r="T3017" s="17"/>
      <c r="U3017" s="1"/>
    </row>
    <row r="3018" spans="20:21" x14ac:dyDescent="0.45">
      <c r="T3018" s="17"/>
      <c r="U3018" s="1"/>
    </row>
    <row r="3019" spans="20:21" x14ac:dyDescent="0.45">
      <c r="T3019" s="17"/>
      <c r="U3019" s="1"/>
    </row>
    <row r="3020" spans="20:21" x14ac:dyDescent="0.45">
      <c r="T3020" s="17"/>
      <c r="U3020" s="1"/>
    </row>
    <row r="3021" spans="20:21" x14ac:dyDescent="0.45">
      <c r="T3021" s="17"/>
      <c r="U3021" s="1"/>
    </row>
    <row r="3022" spans="20:21" x14ac:dyDescent="0.45">
      <c r="T3022" s="17"/>
      <c r="U3022" s="1"/>
    </row>
    <row r="3023" spans="20:21" x14ac:dyDescent="0.45">
      <c r="T3023" s="17"/>
      <c r="U3023" s="1"/>
    </row>
    <row r="3024" spans="20:21" x14ac:dyDescent="0.45">
      <c r="T3024" s="17"/>
      <c r="U3024" s="1"/>
    </row>
    <row r="3025" spans="20:21" x14ac:dyDescent="0.45">
      <c r="T3025" s="17"/>
      <c r="U3025" s="1"/>
    </row>
    <row r="3026" spans="20:21" x14ac:dyDescent="0.45">
      <c r="T3026" s="17"/>
      <c r="U3026" s="1"/>
    </row>
    <row r="3027" spans="20:21" x14ac:dyDescent="0.45">
      <c r="T3027" s="17"/>
      <c r="U3027" s="1"/>
    </row>
    <row r="3028" spans="20:21" x14ac:dyDescent="0.45">
      <c r="T3028" s="17"/>
      <c r="U3028" s="1"/>
    </row>
    <row r="3029" spans="20:21" x14ac:dyDescent="0.45">
      <c r="T3029" s="17"/>
      <c r="U3029" s="1"/>
    </row>
    <row r="3030" spans="20:21" x14ac:dyDescent="0.45">
      <c r="T3030" s="17"/>
      <c r="U3030" s="1"/>
    </row>
    <row r="3031" spans="20:21" x14ac:dyDescent="0.45">
      <c r="T3031" s="17"/>
      <c r="U3031" s="1"/>
    </row>
    <row r="3032" spans="20:21" x14ac:dyDescent="0.45">
      <c r="T3032" s="17"/>
      <c r="U3032" s="1"/>
    </row>
    <row r="3033" spans="20:21" x14ac:dyDescent="0.45">
      <c r="T3033" s="17"/>
      <c r="U3033" s="1"/>
    </row>
    <row r="3034" spans="20:21" x14ac:dyDescent="0.45">
      <c r="T3034" s="17"/>
      <c r="U3034" s="1"/>
    </row>
    <row r="3035" spans="20:21" x14ac:dyDescent="0.45">
      <c r="T3035" s="17"/>
      <c r="U3035" s="1"/>
    </row>
    <row r="3036" spans="20:21" x14ac:dyDescent="0.45">
      <c r="T3036" s="17"/>
      <c r="U3036" s="1"/>
    </row>
    <row r="3037" spans="20:21" x14ac:dyDescent="0.45">
      <c r="T3037" s="17"/>
      <c r="U3037" s="1"/>
    </row>
    <row r="3038" spans="20:21" x14ac:dyDescent="0.45">
      <c r="T3038" s="17"/>
      <c r="U3038" s="1"/>
    </row>
    <row r="3039" spans="20:21" x14ac:dyDescent="0.45">
      <c r="T3039" s="17"/>
      <c r="U3039" s="1"/>
    </row>
    <row r="3040" spans="20:21" x14ac:dyDescent="0.45">
      <c r="T3040" s="17"/>
      <c r="U3040" s="1"/>
    </row>
    <row r="3041" spans="20:21" x14ac:dyDescent="0.45">
      <c r="T3041" s="17"/>
      <c r="U3041" s="1"/>
    </row>
    <row r="3042" spans="20:21" x14ac:dyDescent="0.45">
      <c r="T3042" s="17"/>
      <c r="U3042" s="1"/>
    </row>
    <row r="3043" spans="20:21" x14ac:dyDescent="0.45">
      <c r="T3043" s="17"/>
      <c r="U3043" s="1"/>
    </row>
    <row r="3044" spans="20:21" x14ac:dyDescent="0.45">
      <c r="T3044" s="17"/>
      <c r="U3044" s="1"/>
    </row>
    <row r="3045" spans="20:21" x14ac:dyDescent="0.45">
      <c r="T3045" s="17"/>
      <c r="U3045" s="1"/>
    </row>
    <row r="3046" spans="20:21" x14ac:dyDescent="0.45">
      <c r="T3046" s="17"/>
      <c r="U3046" s="1"/>
    </row>
    <row r="3047" spans="20:21" x14ac:dyDescent="0.45">
      <c r="T3047" s="17"/>
      <c r="U3047" s="1"/>
    </row>
    <row r="3048" spans="20:21" x14ac:dyDescent="0.45">
      <c r="T3048" s="17"/>
      <c r="U3048" s="1"/>
    </row>
    <row r="3049" spans="20:21" x14ac:dyDescent="0.45">
      <c r="T3049" s="17"/>
      <c r="U3049" s="1"/>
    </row>
    <row r="3050" spans="20:21" x14ac:dyDescent="0.45">
      <c r="T3050" s="17"/>
      <c r="U3050" s="1"/>
    </row>
    <row r="3051" spans="20:21" x14ac:dyDescent="0.45">
      <c r="T3051" s="17"/>
      <c r="U3051" s="1"/>
    </row>
    <row r="3052" spans="20:21" x14ac:dyDescent="0.45">
      <c r="T3052" s="17"/>
      <c r="U3052" s="1"/>
    </row>
    <row r="3053" spans="20:21" x14ac:dyDescent="0.45">
      <c r="T3053" s="17"/>
      <c r="U3053" s="1"/>
    </row>
    <row r="3054" spans="20:21" x14ac:dyDescent="0.45">
      <c r="T3054" s="17"/>
      <c r="U3054" s="1"/>
    </row>
    <row r="3055" spans="20:21" x14ac:dyDescent="0.45">
      <c r="T3055" s="17"/>
      <c r="U3055" s="1"/>
    </row>
    <row r="3056" spans="20:21" x14ac:dyDescent="0.45">
      <c r="T3056" s="17"/>
      <c r="U3056" s="1"/>
    </row>
    <row r="3057" spans="20:21" x14ac:dyDescent="0.45">
      <c r="T3057" s="17"/>
      <c r="U3057" s="1"/>
    </row>
    <row r="3058" spans="20:21" x14ac:dyDescent="0.45">
      <c r="T3058" s="17"/>
      <c r="U3058" s="1"/>
    </row>
    <row r="3059" spans="20:21" x14ac:dyDescent="0.45">
      <c r="T3059" s="17"/>
      <c r="U3059" s="1"/>
    </row>
    <row r="3060" spans="20:21" x14ac:dyDescent="0.45">
      <c r="T3060" s="17"/>
      <c r="U3060" s="1"/>
    </row>
    <row r="3061" spans="20:21" x14ac:dyDescent="0.45">
      <c r="T3061" s="17"/>
      <c r="U3061" s="1"/>
    </row>
    <row r="3062" spans="20:21" x14ac:dyDescent="0.45">
      <c r="T3062" s="17"/>
      <c r="U3062" s="1"/>
    </row>
    <row r="3063" spans="20:21" x14ac:dyDescent="0.45">
      <c r="T3063" s="17"/>
      <c r="U3063" s="1"/>
    </row>
    <row r="3064" spans="20:21" x14ac:dyDescent="0.45">
      <c r="T3064" s="17"/>
      <c r="U3064" s="1"/>
    </row>
    <row r="3065" spans="20:21" x14ac:dyDescent="0.45">
      <c r="T3065" s="17"/>
      <c r="U3065" s="1"/>
    </row>
    <row r="3066" spans="20:21" x14ac:dyDescent="0.45">
      <c r="T3066" s="17"/>
      <c r="U3066" s="1"/>
    </row>
    <row r="3067" spans="20:21" x14ac:dyDescent="0.45">
      <c r="T3067" s="17"/>
      <c r="U3067" s="1"/>
    </row>
    <row r="3068" spans="20:21" x14ac:dyDescent="0.45">
      <c r="T3068" s="17"/>
      <c r="U3068" s="1"/>
    </row>
    <row r="3069" spans="20:21" x14ac:dyDescent="0.45">
      <c r="T3069" s="17"/>
      <c r="U3069" s="1"/>
    </row>
    <row r="3070" spans="20:21" x14ac:dyDescent="0.45">
      <c r="T3070" s="17"/>
      <c r="U3070" s="1"/>
    </row>
    <row r="3071" spans="20:21" x14ac:dyDescent="0.45">
      <c r="T3071" s="17"/>
      <c r="U3071" s="1"/>
    </row>
    <row r="3072" spans="20:21" x14ac:dyDescent="0.45">
      <c r="T3072" s="17"/>
      <c r="U3072" s="1"/>
    </row>
    <row r="3073" spans="20:21" x14ac:dyDescent="0.45">
      <c r="T3073" s="17"/>
      <c r="U3073" s="1"/>
    </row>
    <row r="3074" spans="20:21" x14ac:dyDescent="0.45">
      <c r="T3074" s="17"/>
      <c r="U3074" s="1"/>
    </row>
    <row r="3075" spans="20:21" x14ac:dyDescent="0.45">
      <c r="T3075" s="17"/>
      <c r="U3075" s="1"/>
    </row>
    <row r="3076" spans="20:21" x14ac:dyDescent="0.45">
      <c r="T3076" s="17"/>
      <c r="U3076" s="1"/>
    </row>
    <row r="3077" spans="20:21" x14ac:dyDescent="0.45">
      <c r="T3077" s="17"/>
      <c r="U3077" s="1"/>
    </row>
    <row r="3078" spans="20:21" x14ac:dyDescent="0.45">
      <c r="T3078" s="17"/>
      <c r="U3078" s="1"/>
    </row>
    <row r="3079" spans="20:21" x14ac:dyDescent="0.45">
      <c r="T3079" s="17"/>
      <c r="U3079" s="1"/>
    </row>
    <row r="3080" spans="20:21" x14ac:dyDescent="0.45">
      <c r="T3080" s="17"/>
      <c r="U3080" s="1"/>
    </row>
    <row r="3081" spans="20:21" x14ac:dyDescent="0.45">
      <c r="T3081" s="17"/>
      <c r="U3081" s="1"/>
    </row>
    <row r="3082" spans="20:21" x14ac:dyDescent="0.45">
      <c r="T3082" s="17"/>
      <c r="U3082" s="1"/>
    </row>
    <row r="3083" spans="20:21" x14ac:dyDescent="0.45">
      <c r="T3083" s="17"/>
      <c r="U3083" s="1"/>
    </row>
    <row r="3084" spans="20:21" x14ac:dyDescent="0.45">
      <c r="T3084" s="17"/>
      <c r="U3084" s="1"/>
    </row>
    <row r="3085" spans="20:21" x14ac:dyDescent="0.45">
      <c r="T3085" s="17"/>
      <c r="U3085" s="1"/>
    </row>
    <row r="3086" spans="20:21" x14ac:dyDescent="0.45">
      <c r="T3086" s="17"/>
      <c r="U3086" s="1"/>
    </row>
    <row r="3087" spans="20:21" x14ac:dyDescent="0.45">
      <c r="T3087" s="17"/>
      <c r="U3087" s="1"/>
    </row>
    <row r="3088" spans="20:21" x14ac:dyDescent="0.45">
      <c r="T3088" s="17"/>
      <c r="U3088" s="1"/>
    </row>
    <row r="3089" spans="20:21" x14ac:dyDescent="0.45">
      <c r="T3089" s="17"/>
      <c r="U3089" s="1"/>
    </row>
    <row r="3090" spans="20:21" x14ac:dyDescent="0.45">
      <c r="T3090" s="17"/>
      <c r="U3090" s="1"/>
    </row>
    <row r="3091" spans="20:21" x14ac:dyDescent="0.45">
      <c r="T3091" s="17"/>
      <c r="U3091" s="1"/>
    </row>
    <row r="3092" spans="20:21" x14ac:dyDescent="0.45">
      <c r="T3092" s="17"/>
      <c r="U3092" s="1"/>
    </row>
    <row r="3093" spans="20:21" x14ac:dyDescent="0.45">
      <c r="T3093" s="17"/>
      <c r="U3093" s="1"/>
    </row>
    <row r="3094" spans="20:21" x14ac:dyDescent="0.45">
      <c r="T3094" s="17"/>
      <c r="U3094" s="1"/>
    </row>
    <row r="3095" spans="20:21" x14ac:dyDescent="0.45">
      <c r="T3095" s="17"/>
      <c r="U3095" s="1"/>
    </row>
    <row r="3096" spans="20:21" x14ac:dyDescent="0.45">
      <c r="T3096" s="17"/>
      <c r="U3096" s="1"/>
    </row>
    <row r="3097" spans="20:21" x14ac:dyDescent="0.45">
      <c r="T3097" s="17"/>
      <c r="U3097" s="1"/>
    </row>
    <row r="3098" spans="20:21" x14ac:dyDescent="0.45">
      <c r="T3098" s="17"/>
      <c r="U3098" s="1"/>
    </row>
    <row r="3099" spans="20:21" x14ac:dyDescent="0.45">
      <c r="T3099" s="17"/>
      <c r="U3099" s="1"/>
    </row>
    <row r="3100" spans="20:21" x14ac:dyDescent="0.45">
      <c r="T3100" s="17"/>
      <c r="U3100" s="1"/>
    </row>
    <row r="3101" spans="20:21" x14ac:dyDescent="0.45">
      <c r="T3101" s="17"/>
      <c r="U3101" s="1"/>
    </row>
    <row r="3102" spans="20:21" x14ac:dyDescent="0.45">
      <c r="T3102" s="17"/>
      <c r="U3102" s="1"/>
    </row>
    <row r="3103" spans="20:21" x14ac:dyDescent="0.45">
      <c r="T3103" s="17"/>
      <c r="U3103" s="1"/>
    </row>
    <row r="3104" spans="20:21" x14ac:dyDescent="0.45">
      <c r="T3104" s="17"/>
      <c r="U3104" s="1"/>
    </row>
    <row r="3105" spans="20:21" x14ac:dyDescent="0.45">
      <c r="T3105" s="17"/>
      <c r="U3105" s="1"/>
    </row>
    <row r="3106" spans="20:21" x14ac:dyDescent="0.45">
      <c r="T3106" s="17"/>
      <c r="U3106" s="1"/>
    </row>
    <row r="3107" spans="20:21" x14ac:dyDescent="0.45">
      <c r="T3107" s="17"/>
      <c r="U3107" s="1"/>
    </row>
    <row r="3108" spans="20:21" x14ac:dyDescent="0.45">
      <c r="T3108" s="17"/>
      <c r="U3108" s="1"/>
    </row>
    <row r="3109" spans="20:21" x14ac:dyDescent="0.45">
      <c r="T3109" s="17"/>
      <c r="U3109" s="1"/>
    </row>
    <row r="3110" spans="20:21" x14ac:dyDescent="0.45">
      <c r="T3110" s="17"/>
      <c r="U3110" s="1"/>
    </row>
    <row r="3111" spans="20:21" x14ac:dyDescent="0.45">
      <c r="T3111" s="17"/>
      <c r="U3111" s="1"/>
    </row>
    <row r="3112" spans="20:21" x14ac:dyDescent="0.45">
      <c r="T3112" s="17"/>
      <c r="U3112" s="1"/>
    </row>
    <row r="3113" spans="20:21" x14ac:dyDescent="0.45">
      <c r="T3113" s="17"/>
      <c r="U3113" s="1"/>
    </row>
    <row r="3114" spans="20:21" x14ac:dyDescent="0.45">
      <c r="T3114" s="17"/>
      <c r="U3114" s="1"/>
    </row>
    <row r="3115" spans="20:21" x14ac:dyDescent="0.45">
      <c r="T3115" s="17"/>
      <c r="U3115" s="1"/>
    </row>
    <row r="3116" spans="20:21" x14ac:dyDescent="0.45">
      <c r="T3116" s="17"/>
      <c r="U3116" s="1"/>
    </row>
    <row r="3117" spans="20:21" x14ac:dyDescent="0.45">
      <c r="T3117" s="17"/>
      <c r="U3117" s="1"/>
    </row>
    <row r="3118" spans="20:21" x14ac:dyDescent="0.45">
      <c r="T3118" s="17"/>
      <c r="U3118" s="1"/>
    </row>
    <row r="3119" spans="20:21" x14ac:dyDescent="0.45">
      <c r="T3119" s="17"/>
      <c r="U3119" s="1"/>
    </row>
    <row r="3120" spans="20:21" x14ac:dyDescent="0.45">
      <c r="T3120" s="17"/>
      <c r="U3120" s="1"/>
    </row>
    <row r="3121" spans="20:21" x14ac:dyDescent="0.45">
      <c r="T3121" s="17"/>
      <c r="U3121" s="1"/>
    </row>
    <row r="3122" spans="20:21" x14ac:dyDescent="0.45">
      <c r="T3122" s="17"/>
      <c r="U3122" s="1"/>
    </row>
    <row r="3123" spans="20:21" x14ac:dyDescent="0.45">
      <c r="T3123" s="17"/>
      <c r="U3123" s="1"/>
    </row>
    <row r="3124" spans="20:21" x14ac:dyDescent="0.45">
      <c r="T3124" s="17"/>
      <c r="U3124" s="1"/>
    </row>
    <row r="3125" spans="20:21" x14ac:dyDescent="0.45">
      <c r="T3125" s="17"/>
      <c r="U3125" s="1"/>
    </row>
    <row r="3126" spans="20:21" x14ac:dyDescent="0.45">
      <c r="T3126" s="17"/>
      <c r="U3126" s="1"/>
    </row>
    <row r="3127" spans="20:21" x14ac:dyDescent="0.45">
      <c r="T3127" s="17"/>
      <c r="U3127" s="1"/>
    </row>
    <row r="3128" spans="20:21" x14ac:dyDescent="0.45">
      <c r="T3128" s="17"/>
      <c r="U3128" s="1"/>
    </row>
    <row r="3129" spans="20:21" x14ac:dyDescent="0.45">
      <c r="T3129" s="17"/>
      <c r="U3129" s="1"/>
    </row>
    <row r="3130" spans="20:21" x14ac:dyDescent="0.45">
      <c r="T3130" s="17"/>
      <c r="U3130" s="1"/>
    </row>
    <row r="3131" spans="20:21" x14ac:dyDescent="0.45">
      <c r="T3131" s="17"/>
      <c r="U3131" s="1"/>
    </row>
    <row r="3132" spans="20:21" x14ac:dyDescent="0.45">
      <c r="T3132" s="17"/>
      <c r="U3132" s="1"/>
    </row>
    <row r="3133" spans="20:21" x14ac:dyDescent="0.45">
      <c r="T3133" s="17"/>
      <c r="U3133" s="1"/>
    </row>
    <row r="3134" spans="20:21" x14ac:dyDescent="0.45">
      <c r="T3134" s="17"/>
      <c r="U3134" s="1"/>
    </row>
    <row r="3135" spans="20:21" x14ac:dyDescent="0.45">
      <c r="T3135" s="17"/>
      <c r="U3135" s="1"/>
    </row>
    <row r="3136" spans="20:21" x14ac:dyDescent="0.45">
      <c r="T3136" s="17"/>
      <c r="U3136" s="1"/>
    </row>
    <row r="3137" spans="20:21" x14ac:dyDescent="0.45">
      <c r="T3137" s="17"/>
      <c r="U3137" s="1"/>
    </row>
    <row r="3138" spans="20:21" x14ac:dyDescent="0.45">
      <c r="T3138" s="17"/>
      <c r="U3138" s="1"/>
    </row>
    <row r="3139" spans="20:21" x14ac:dyDescent="0.45">
      <c r="T3139" s="17"/>
      <c r="U3139" s="1"/>
    </row>
    <row r="3140" spans="20:21" x14ac:dyDescent="0.45">
      <c r="T3140" s="17"/>
      <c r="U3140" s="1"/>
    </row>
    <row r="3141" spans="20:21" x14ac:dyDescent="0.45">
      <c r="T3141" s="17"/>
      <c r="U3141" s="1"/>
    </row>
    <row r="3142" spans="20:21" x14ac:dyDescent="0.45">
      <c r="T3142" s="17"/>
      <c r="U3142" s="1"/>
    </row>
    <row r="3143" spans="20:21" x14ac:dyDescent="0.45">
      <c r="T3143" s="17"/>
      <c r="U3143" s="1"/>
    </row>
    <row r="3144" spans="20:21" x14ac:dyDescent="0.45">
      <c r="T3144" s="17"/>
      <c r="U3144" s="1"/>
    </row>
    <row r="3145" spans="20:21" x14ac:dyDescent="0.45">
      <c r="T3145" s="17"/>
      <c r="U3145" s="1"/>
    </row>
    <row r="3146" spans="20:21" x14ac:dyDescent="0.45">
      <c r="T3146" s="17"/>
      <c r="U3146" s="1"/>
    </row>
    <row r="3147" spans="20:21" x14ac:dyDescent="0.45">
      <c r="T3147" s="17"/>
      <c r="U3147" s="1"/>
    </row>
    <row r="3148" spans="20:21" x14ac:dyDescent="0.45">
      <c r="T3148" s="17"/>
      <c r="U3148" s="1"/>
    </row>
    <row r="3149" spans="20:21" x14ac:dyDescent="0.45">
      <c r="T3149" s="17"/>
      <c r="U3149" s="1"/>
    </row>
    <row r="3150" spans="20:21" x14ac:dyDescent="0.45">
      <c r="T3150" s="17"/>
      <c r="U3150" s="1"/>
    </row>
    <row r="3151" spans="20:21" x14ac:dyDescent="0.45">
      <c r="T3151" s="17"/>
      <c r="U3151" s="1"/>
    </row>
    <row r="3152" spans="20:21" x14ac:dyDescent="0.45">
      <c r="T3152" s="17"/>
      <c r="U3152" s="1"/>
    </row>
    <row r="3153" spans="20:21" x14ac:dyDescent="0.45">
      <c r="T3153" s="17"/>
      <c r="U3153" s="1"/>
    </row>
    <row r="3154" spans="20:21" x14ac:dyDescent="0.45">
      <c r="T3154" s="17"/>
      <c r="U3154" s="1"/>
    </row>
    <row r="3155" spans="20:21" x14ac:dyDescent="0.45">
      <c r="T3155" s="17"/>
      <c r="U3155" s="1"/>
    </row>
    <row r="3156" spans="20:21" x14ac:dyDescent="0.45">
      <c r="T3156" s="17"/>
      <c r="U3156" s="1"/>
    </row>
    <row r="3157" spans="20:21" x14ac:dyDescent="0.45">
      <c r="T3157" s="17"/>
      <c r="U3157" s="1"/>
    </row>
    <row r="3158" spans="20:21" x14ac:dyDescent="0.45">
      <c r="T3158" s="17"/>
      <c r="U3158" s="1"/>
    </row>
    <row r="3159" spans="20:21" x14ac:dyDescent="0.45">
      <c r="T3159" s="17"/>
      <c r="U3159" s="1"/>
    </row>
    <row r="3160" spans="20:21" x14ac:dyDescent="0.45">
      <c r="T3160" s="17"/>
      <c r="U3160" s="1"/>
    </row>
    <row r="3161" spans="20:21" x14ac:dyDescent="0.45">
      <c r="T3161" s="17"/>
      <c r="U3161" s="1"/>
    </row>
    <row r="3162" spans="20:21" x14ac:dyDescent="0.45">
      <c r="T3162" s="17"/>
      <c r="U3162" s="1"/>
    </row>
    <row r="3163" spans="20:21" x14ac:dyDescent="0.45">
      <c r="T3163" s="17"/>
      <c r="U3163" s="1"/>
    </row>
    <row r="3164" spans="20:21" x14ac:dyDescent="0.45">
      <c r="T3164" s="17"/>
      <c r="U3164" s="1"/>
    </row>
    <row r="3165" spans="20:21" x14ac:dyDescent="0.45">
      <c r="T3165" s="17"/>
      <c r="U3165" s="1"/>
    </row>
    <row r="3166" spans="20:21" x14ac:dyDescent="0.45">
      <c r="T3166" s="17"/>
      <c r="U3166" s="1"/>
    </row>
    <row r="3167" spans="20:21" x14ac:dyDescent="0.45">
      <c r="T3167" s="17"/>
      <c r="U3167" s="1"/>
    </row>
    <row r="3168" spans="20:21" x14ac:dyDescent="0.45">
      <c r="T3168" s="17"/>
      <c r="U3168" s="1"/>
    </row>
    <row r="3169" spans="20:21" x14ac:dyDescent="0.45">
      <c r="T3169" s="17"/>
      <c r="U3169" s="1"/>
    </row>
    <row r="3170" spans="20:21" x14ac:dyDescent="0.45">
      <c r="T3170" s="17"/>
      <c r="U3170" s="1"/>
    </row>
    <row r="3171" spans="20:21" x14ac:dyDescent="0.45">
      <c r="T3171" s="17"/>
      <c r="U3171" s="1"/>
    </row>
    <row r="3172" spans="20:21" x14ac:dyDescent="0.45">
      <c r="T3172" s="17"/>
      <c r="U3172" s="1"/>
    </row>
    <row r="3173" spans="20:21" x14ac:dyDescent="0.45">
      <c r="T3173" s="17"/>
      <c r="U3173" s="1"/>
    </row>
    <row r="3174" spans="20:21" x14ac:dyDescent="0.45">
      <c r="T3174" s="17"/>
      <c r="U3174" s="1"/>
    </row>
    <row r="3175" spans="20:21" x14ac:dyDescent="0.45">
      <c r="T3175" s="17"/>
      <c r="U3175" s="1"/>
    </row>
    <row r="3176" spans="20:21" x14ac:dyDescent="0.45">
      <c r="T3176" s="17"/>
      <c r="U3176" s="1"/>
    </row>
    <row r="3177" spans="20:21" x14ac:dyDescent="0.45">
      <c r="T3177" s="17"/>
      <c r="U3177" s="1"/>
    </row>
    <row r="3178" spans="20:21" x14ac:dyDescent="0.45">
      <c r="T3178" s="17"/>
      <c r="U3178" s="1"/>
    </row>
    <row r="3179" spans="20:21" x14ac:dyDescent="0.45">
      <c r="T3179" s="17"/>
      <c r="U3179" s="1"/>
    </row>
    <row r="3180" spans="20:21" x14ac:dyDescent="0.45">
      <c r="T3180" s="17"/>
      <c r="U3180" s="1"/>
    </row>
    <row r="3181" spans="20:21" x14ac:dyDescent="0.45">
      <c r="T3181" s="17"/>
      <c r="U3181" s="1"/>
    </row>
    <row r="3182" spans="20:21" x14ac:dyDescent="0.45">
      <c r="T3182" s="17"/>
      <c r="U3182" s="1"/>
    </row>
    <row r="3183" spans="20:21" x14ac:dyDescent="0.45">
      <c r="T3183" s="17"/>
      <c r="U3183" s="1"/>
    </row>
    <row r="3184" spans="20:21" x14ac:dyDescent="0.45">
      <c r="T3184" s="17"/>
      <c r="U3184" s="1"/>
    </row>
    <row r="3185" spans="20:21" x14ac:dyDescent="0.45">
      <c r="T3185" s="17"/>
      <c r="U3185" s="1"/>
    </row>
    <row r="3186" spans="20:21" x14ac:dyDescent="0.45">
      <c r="T3186" s="17"/>
      <c r="U3186" s="1"/>
    </row>
    <row r="3187" spans="20:21" x14ac:dyDescent="0.45">
      <c r="T3187" s="17"/>
      <c r="U3187" s="1"/>
    </row>
    <row r="3188" spans="20:21" x14ac:dyDescent="0.45">
      <c r="T3188" s="17"/>
      <c r="U3188" s="1"/>
    </row>
    <row r="3189" spans="20:21" x14ac:dyDescent="0.45">
      <c r="T3189" s="17"/>
      <c r="U3189" s="1"/>
    </row>
    <row r="3190" spans="20:21" x14ac:dyDescent="0.45">
      <c r="T3190" s="17"/>
      <c r="U3190" s="1"/>
    </row>
    <row r="3191" spans="20:21" x14ac:dyDescent="0.45">
      <c r="T3191" s="17"/>
      <c r="U3191" s="1"/>
    </row>
    <row r="3192" spans="20:21" x14ac:dyDescent="0.45">
      <c r="T3192" s="17"/>
      <c r="U3192" s="1"/>
    </row>
    <row r="3193" spans="20:21" x14ac:dyDescent="0.45">
      <c r="T3193" s="17"/>
      <c r="U3193" s="1"/>
    </row>
    <row r="3194" spans="20:21" x14ac:dyDescent="0.45">
      <c r="T3194" s="17"/>
      <c r="U3194" s="1"/>
    </row>
    <row r="3195" spans="20:21" x14ac:dyDescent="0.45">
      <c r="T3195" s="17"/>
      <c r="U3195" s="1"/>
    </row>
    <row r="3196" spans="20:21" x14ac:dyDescent="0.45">
      <c r="T3196" s="17"/>
      <c r="U3196" s="1"/>
    </row>
    <row r="3197" spans="20:21" x14ac:dyDescent="0.45">
      <c r="T3197" s="17"/>
      <c r="U3197" s="1"/>
    </row>
    <row r="3198" spans="20:21" x14ac:dyDescent="0.45">
      <c r="T3198" s="17"/>
      <c r="U3198" s="1"/>
    </row>
    <row r="3199" spans="20:21" x14ac:dyDescent="0.45">
      <c r="T3199" s="17"/>
      <c r="U3199" s="1"/>
    </row>
    <row r="3200" spans="20:21" x14ac:dyDescent="0.45">
      <c r="T3200" s="17"/>
      <c r="U3200" s="1"/>
    </row>
    <row r="3201" spans="20:21" x14ac:dyDescent="0.45">
      <c r="T3201" s="17"/>
      <c r="U3201" s="1"/>
    </row>
    <row r="3202" spans="20:21" x14ac:dyDescent="0.45">
      <c r="T3202" s="17"/>
      <c r="U3202" s="1"/>
    </row>
    <row r="3203" spans="20:21" x14ac:dyDescent="0.45">
      <c r="T3203" s="17"/>
      <c r="U3203" s="1"/>
    </row>
    <row r="3204" spans="20:21" x14ac:dyDescent="0.45">
      <c r="T3204" s="17"/>
      <c r="U3204" s="1"/>
    </row>
    <row r="3205" spans="20:21" x14ac:dyDescent="0.45">
      <c r="T3205" s="17"/>
      <c r="U3205" s="1"/>
    </row>
    <row r="3206" spans="20:21" x14ac:dyDescent="0.45">
      <c r="T3206" s="17"/>
      <c r="U3206" s="1"/>
    </row>
    <row r="3207" spans="20:21" x14ac:dyDescent="0.45">
      <c r="T3207" s="17"/>
      <c r="U3207" s="1"/>
    </row>
    <row r="3208" spans="20:21" x14ac:dyDescent="0.45">
      <c r="T3208" s="17"/>
      <c r="U3208" s="1"/>
    </row>
    <row r="3209" spans="20:21" x14ac:dyDescent="0.45">
      <c r="T3209" s="17"/>
      <c r="U3209" s="1"/>
    </row>
    <row r="3210" spans="20:21" x14ac:dyDescent="0.45">
      <c r="T3210" s="17"/>
      <c r="U3210" s="1"/>
    </row>
    <row r="3211" spans="20:21" x14ac:dyDescent="0.45">
      <c r="T3211" s="17"/>
      <c r="U3211" s="1"/>
    </row>
    <row r="3212" spans="20:21" x14ac:dyDescent="0.45">
      <c r="T3212" s="17"/>
      <c r="U3212" s="1"/>
    </row>
    <row r="3213" spans="20:21" x14ac:dyDescent="0.45">
      <c r="T3213" s="17"/>
      <c r="U3213" s="1"/>
    </row>
    <row r="3214" spans="20:21" x14ac:dyDescent="0.45">
      <c r="T3214" s="17"/>
      <c r="U3214" s="1"/>
    </row>
    <row r="3215" spans="20:21" x14ac:dyDescent="0.45">
      <c r="T3215" s="17"/>
      <c r="U3215" s="1"/>
    </row>
    <row r="3216" spans="20:21" x14ac:dyDescent="0.45">
      <c r="T3216" s="17"/>
      <c r="U3216" s="1"/>
    </row>
    <row r="3217" spans="20:21" x14ac:dyDescent="0.45">
      <c r="T3217" s="17"/>
      <c r="U3217" s="1"/>
    </row>
    <row r="3218" spans="20:21" x14ac:dyDescent="0.45">
      <c r="T3218" s="17"/>
      <c r="U3218" s="1"/>
    </row>
    <row r="3219" spans="20:21" x14ac:dyDescent="0.45">
      <c r="T3219" s="17"/>
      <c r="U3219" s="1"/>
    </row>
    <row r="3220" spans="20:21" x14ac:dyDescent="0.45">
      <c r="T3220" s="17"/>
      <c r="U3220" s="1"/>
    </row>
    <row r="3221" spans="20:21" x14ac:dyDescent="0.45">
      <c r="T3221" s="17"/>
      <c r="U3221" s="1"/>
    </row>
    <row r="3222" spans="20:21" x14ac:dyDescent="0.45">
      <c r="T3222" s="17"/>
      <c r="U3222" s="1"/>
    </row>
    <row r="3223" spans="20:21" x14ac:dyDescent="0.45">
      <c r="T3223" s="17"/>
      <c r="U3223" s="1"/>
    </row>
    <row r="3224" spans="20:21" x14ac:dyDescent="0.45">
      <c r="T3224" s="17"/>
      <c r="U3224" s="1"/>
    </row>
    <row r="3225" spans="20:21" x14ac:dyDescent="0.45">
      <c r="T3225" s="17"/>
      <c r="U3225" s="1"/>
    </row>
    <row r="3226" spans="20:21" x14ac:dyDescent="0.45">
      <c r="T3226" s="17"/>
      <c r="U3226" s="1"/>
    </row>
    <row r="3227" spans="20:21" x14ac:dyDescent="0.45">
      <c r="T3227" s="17"/>
      <c r="U3227" s="1"/>
    </row>
    <row r="3228" spans="20:21" x14ac:dyDescent="0.45">
      <c r="T3228" s="17"/>
      <c r="U3228" s="1"/>
    </row>
    <row r="3229" spans="20:21" x14ac:dyDescent="0.45">
      <c r="T3229" s="17"/>
      <c r="U3229" s="1"/>
    </row>
    <row r="3230" spans="20:21" x14ac:dyDescent="0.45">
      <c r="T3230" s="17"/>
      <c r="U3230" s="1"/>
    </row>
    <row r="3231" spans="20:21" x14ac:dyDescent="0.45">
      <c r="T3231" s="17"/>
      <c r="U3231" s="1"/>
    </row>
    <row r="3232" spans="20:21" x14ac:dyDescent="0.45">
      <c r="T3232" s="17"/>
      <c r="U3232" s="1"/>
    </row>
    <row r="3233" spans="20:21" x14ac:dyDescent="0.45">
      <c r="T3233" s="17"/>
      <c r="U3233" s="1"/>
    </row>
    <row r="3234" spans="20:21" x14ac:dyDescent="0.45">
      <c r="T3234" s="17"/>
      <c r="U3234" s="1"/>
    </row>
    <row r="3235" spans="20:21" x14ac:dyDescent="0.45">
      <c r="T3235" s="17"/>
      <c r="U3235" s="1"/>
    </row>
    <row r="3236" spans="20:21" x14ac:dyDescent="0.45">
      <c r="T3236" s="17"/>
      <c r="U3236" s="1"/>
    </row>
    <row r="3237" spans="20:21" x14ac:dyDescent="0.45">
      <c r="T3237" s="17"/>
      <c r="U3237" s="1"/>
    </row>
    <row r="3238" spans="20:21" x14ac:dyDescent="0.45">
      <c r="T3238" s="17"/>
      <c r="U3238" s="1"/>
    </row>
    <row r="3239" spans="20:21" x14ac:dyDescent="0.45">
      <c r="T3239" s="17"/>
      <c r="U3239" s="1"/>
    </row>
    <row r="3240" spans="20:21" x14ac:dyDescent="0.45">
      <c r="T3240" s="17"/>
      <c r="U3240" s="1"/>
    </row>
    <row r="3241" spans="20:21" x14ac:dyDescent="0.45">
      <c r="T3241" s="17"/>
      <c r="U3241" s="1"/>
    </row>
    <row r="3242" spans="20:21" x14ac:dyDescent="0.45">
      <c r="T3242" s="17"/>
      <c r="U3242" s="1"/>
    </row>
    <row r="3243" spans="20:21" x14ac:dyDescent="0.45">
      <c r="T3243" s="17"/>
      <c r="U3243" s="1"/>
    </row>
    <row r="3244" spans="20:21" x14ac:dyDescent="0.45">
      <c r="T3244" s="17"/>
      <c r="U3244" s="1"/>
    </row>
    <row r="3245" spans="20:21" x14ac:dyDescent="0.45">
      <c r="T3245" s="17"/>
      <c r="U3245" s="1"/>
    </row>
    <row r="3246" spans="20:21" x14ac:dyDescent="0.45">
      <c r="T3246" s="17"/>
      <c r="U3246" s="1"/>
    </row>
    <row r="3247" spans="20:21" x14ac:dyDescent="0.45">
      <c r="T3247" s="17"/>
      <c r="U3247" s="1"/>
    </row>
    <row r="3248" spans="20:21" x14ac:dyDescent="0.45">
      <c r="T3248" s="17"/>
      <c r="U3248" s="1"/>
    </row>
    <row r="3249" spans="20:21" x14ac:dyDescent="0.45">
      <c r="T3249" s="17"/>
      <c r="U3249" s="1"/>
    </row>
    <row r="3250" spans="20:21" x14ac:dyDescent="0.45">
      <c r="T3250" s="17"/>
      <c r="U3250" s="1"/>
    </row>
    <row r="3251" spans="20:21" x14ac:dyDescent="0.45">
      <c r="T3251" s="17"/>
      <c r="U3251" s="1"/>
    </row>
    <row r="3252" spans="20:21" x14ac:dyDescent="0.45">
      <c r="T3252" s="17"/>
      <c r="U3252" s="1"/>
    </row>
    <row r="3253" spans="20:21" x14ac:dyDescent="0.45">
      <c r="T3253" s="17"/>
      <c r="U3253" s="1"/>
    </row>
    <row r="3254" spans="20:21" x14ac:dyDescent="0.45">
      <c r="T3254" s="17"/>
      <c r="U3254" s="1"/>
    </row>
    <row r="3255" spans="20:21" x14ac:dyDescent="0.45">
      <c r="T3255" s="17"/>
      <c r="U3255" s="1"/>
    </row>
    <row r="3256" spans="20:21" x14ac:dyDescent="0.45">
      <c r="T3256" s="17"/>
      <c r="U3256" s="1"/>
    </row>
    <row r="3257" spans="20:21" x14ac:dyDescent="0.45">
      <c r="T3257" s="17"/>
      <c r="U3257" s="1"/>
    </row>
    <row r="3258" spans="20:21" x14ac:dyDescent="0.45">
      <c r="T3258" s="17"/>
      <c r="U3258" s="1"/>
    </row>
    <row r="3259" spans="20:21" x14ac:dyDescent="0.45">
      <c r="T3259" s="17"/>
      <c r="U3259" s="1"/>
    </row>
    <row r="3260" spans="20:21" x14ac:dyDescent="0.45">
      <c r="T3260" s="17"/>
      <c r="U3260" s="1"/>
    </row>
    <row r="3261" spans="20:21" x14ac:dyDescent="0.45">
      <c r="T3261" s="17"/>
      <c r="U3261" s="1"/>
    </row>
    <row r="3262" spans="20:21" x14ac:dyDescent="0.45">
      <c r="T3262" s="17"/>
      <c r="U3262" s="1"/>
    </row>
    <row r="3263" spans="20:21" x14ac:dyDescent="0.45">
      <c r="T3263" s="17"/>
      <c r="U3263" s="1"/>
    </row>
    <row r="3264" spans="20:21" x14ac:dyDescent="0.45">
      <c r="T3264" s="17"/>
      <c r="U3264" s="1"/>
    </row>
    <row r="3265" spans="20:21" x14ac:dyDescent="0.45">
      <c r="T3265" s="17"/>
      <c r="U3265" s="1"/>
    </row>
    <row r="3266" spans="20:21" x14ac:dyDescent="0.45">
      <c r="T3266" s="17"/>
      <c r="U3266" s="1"/>
    </row>
    <row r="3267" spans="20:21" x14ac:dyDescent="0.45">
      <c r="T3267" s="17"/>
      <c r="U3267" s="1"/>
    </row>
    <row r="3268" spans="20:21" x14ac:dyDescent="0.45">
      <c r="T3268" s="17"/>
      <c r="U3268" s="1"/>
    </row>
    <row r="3269" spans="20:21" x14ac:dyDescent="0.45">
      <c r="T3269" s="17"/>
      <c r="U3269" s="1"/>
    </row>
    <row r="3270" spans="20:21" x14ac:dyDescent="0.45">
      <c r="T3270" s="17"/>
      <c r="U3270" s="1"/>
    </row>
    <row r="3271" spans="20:21" x14ac:dyDescent="0.45">
      <c r="T3271" s="17"/>
      <c r="U3271" s="1"/>
    </row>
    <row r="3272" spans="20:21" x14ac:dyDescent="0.45">
      <c r="T3272" s="17"/>
      <c r="U3272" s="1"/>
    </row>
    <row r="3273" spans="20:21" x14ac:dyDescent="0.45">
      <c r="T3273" s="17"/>
      <c r="U3273" s="1"/>
    </row>
    <row r="3274" spans="20:21" x14ac:dyDescent="0.45">
      <c r="T3274" s="17"/>
      <c r="U3274" s="1"/>
    </row>
    <row r="3275" spans="20:21" x14ac:dyDescent="0.45">
      <c r="T3275" s="17"/>
      <c r="U3275" s="1"/>
    </row>
    <row r="3276" spans="20:21" x14ac:dyDescent="0.45">
      <c r="T3276" s="17"/>
      <c r="U3276" s="1"/>
    </row>
    <row r="3277" spans="20:21" x14ac:dyDescent="0.45">
      <c r="T3277" s="17"/>
      <c r="U3277" s="1"/>
    </row>
    <row r="3278" spans="20:21" x14ac:dyDescent="0.45">
      <c r="T3278" s="17"/>
      <c r="U3278" s="1"/>
    </row>
    <row r="3279" spans="20:21" x14ac:dyDescent="0.45">
      <c r="T3279" s="17"/>
      <c r="U3279" s="1"/>
    </row>
    <row r="3280" spans="20:21" x14ac:dyDescent="0.45">
      <c r="T3280" s="17"/>
      <c r="U3280" s="1"/>
    </row>
    <row r="3281" spans="20:21" x14ac:dyDescent="0.45">
      <c r="T3281" s="17"/>
      <c r="U3281" s="1"/>
    </row>
    <row r="3282" spans="20:21" x14ac:dyDescent="0.45">
      <c r="T3282" s="17"/>
      <c r="U3282" s="1"/>
    </row>
    <row r="3283" spans="20:21" x14ac:dyDescent="0.45">
      <c r="T3283" s="17"/>
      <c r="U3283" s="1"/>
    </row>
    <row r="3284" spans="20:21" x14ac:dyDescent="0.45">
      <c r="T3284" s="17"/>
      <c r="U3284" s="1"/>
    </row>
    <row r="3285" spans="20:21" x14ac:dyDescent="0.45">
      <c r="T3285" s="17"/>
      <c r="U3285" s="1"/>
    </row>
    <row r="3286" spans="20:21" x14ac:dyDescent="0.45">
      <c r="T3286" s="17"/>
      <c r="U3286" s="1"/>
    </row>
    <row r="3287" spans="20:21" x14ac:dyDescent="0.45">
      <c r="T3287" s="17"/>
      <c r="U3287" s="1"/>
    </row>
    <row r="3288" spans="20:21" x14ac:dyDescent="0.45">
      <c r="T3288" s="17"/>
      <c r="U3288" s="1"/>
    </row>
    <row r="3289" spans="20:21" x14ac:dyDescent="0.45">
      <c r="T3289" s="17"/>
      <c r="U3289" s="1"/>
    </row>
    <row r="3290" spans="20:21" x14ac:dyDescent="0.45">
      <c r="T3290" s="17"/>
      <c r="U3290" s="1"/>
    </row>
    <row r="3291" spans="20:21" x14ac:dyDescent="0.45">
      <c r="T3291" s="17"/>
      <c r="U3291" s="1"/>
    </row>
    <row r="3292" spans="20:21" x14ac:dyDescent="0.45">
      <c r="T3292" s="17"/>
      <c r="U3292" s="1"/>
    </row>
    <row r="3293" spans="20:21" x14ac:dyDescent="0.45">
      <c r="T3293" s="17"/>
      <c r="U3293" s="1"/>
    </row>
    <row r="3294" spans="20:21" x14ac:dyDescent="0.45">
      <c r="T3294" s="17"/>
      <c r="U3294" s="1"/>
    </row>
    <row r="3295" spans="20:21" x14ac:dyDescent="0.45">
      <c r="T3295" s="17"/>
      <c r="U3295" s="1"/>
    </row>
    <row r="3296" spans="20:21" x14ac:dyDescent="0.45">
      <c r="T3296" s="17"/>
      <c r="U3296" s="1"/>
    </row>
    <row r="3297" spans="20:21" x14ac:dyDescent="0.45">
      <c r="T3297" s="17"/>
      <c r="U3297" s="1"/>
    </row>
    <row r="3298" spans="20:21" x14ac:dyDescent="0.45">
      <c r="T3298" s="17"/>
      <c r="U3298" s="1"/>
    </row>
    <row r="3299" spans="20:21" x14ac:dyDescent="0.45">
      <c r="T3299" s="17"/>
      <c r="U3299" s="1"/>
    </row>
    <row r="3300" spans="20:21" x14ac:dyDescent="0.45">
      <c r="T3300" s="17"/>
      <c r="U3300" s="1"/>
    </row>
    <row r="3301" spans="20:21" x14ac:dyDescent="0.45">
      <c r="T3301" s="17"/>
      <c r="U3301" s="1"/>
    </row>
    <row r="3302" spans="20:21" x14ac:dyDescent="0.45">
      <c r="T3302" s="17"/>
      <c r="U3302" s="1"/>
    </row>
    <row r="3303" spans="20:21" x14ac:dyDescent="0.45">
      <c r="T3303" s="17"/>
      <c r="U3303" s="1"/>
    </row>
    <row r="3304" spans="20:21" x14ac:dyDescent="0.45">
      <c r="T3304" s="17"/>
      <c r="U3304" s="1"/>
    </row>
    <row r="3305" spans="20:21" x14ac:dyDescent="0.45">
      <c r="T3305" s="17"/>
      <c r="U3305" s="1"/>
    </row>
    <row r="3306" spans="20:21" x14ac:dyDescent="0.45">
      <c r="T3306" s="17"/>
      <c r="U3306" s="1"/>
    </row>
    <row r="3307" spans="20:21" x14ac:dyDescent="0.45">
      <c r="T3307" s="17"/>
      <c r="U3307" s="1"/>
    </row>
    <row r="3308" spans="20:21" x14ac:dyDescent="0.45">
      <c r="T3308" s="17"/>
      <c r="U3308" s="1"/>
    </row>
    <row r="3309" spans="20:21" x14ac:dyDescent="0.45">
      <c r="T3309" s="17"/>
      <c r="U3309" s="1"/>
    </row>
    <row r="3310" spans="20:21" x14ac:dyDescent="0.45">
      <c r="T3310" s="17"/>
      <c r="U3310" s="1"/>
    </row>
    <row r="3311" spans="20:21" x14ac:dyDescent="0.45">
      <c r="T3311" s="17"/>
      <c r="U3311" s="1"/>
    </row>
    <row r="3312" spans="20:21" x14ac:dyDescent="0.45">
      <c r="T3312" s="17"/>
      <c r="U3312" s="1"/>
    </row>
    <row r="3313" spans="20:21" x14ac:dyDescent="0.45">
      <c r="T3313" s="17"/>
      <c r="U3313" s="1"/>
    </row>
    <row r="3314" spans="20:21" x14ac:dyDescent="0.45">
      <c r="T3314" s="17"/>
      <c r="U3314" s="1"/>
    </row>
    <row r="3315" spans="20:21" x14ac:dyDescent="0.45">
      <c r="T3315" s="17"/>
      <c r="U3315" s="1"/>
    </row>
    <row r="3316" spans="20:21" x14ac:dyDescent="0.45">
      <c r="T3316" s="17"/>
      <c r="U3316" s="1"/>
    </row>
    <row r="3317" spans="20:21" x14ac:dyDescent="0.45">
      <c r="T3317" s="17"/>
      <c r="U3317" s="1"/>
    </row>
    <row r="3318" spans="20:21" x14ac:dyDescent="0.45">
      <c r="T3318" s="17"/>
      <c r="U3318" s="1"/>
    </row>
    <row r="3319" spans="20:21" x14ac:dyDescent="0.45">
      <c r="T3319" s="17"/>
      <c r="U3319" s="1"/>
    </row>
    <row r="3320" spans="20:21" x14ac:dyDescent="0.45">
      <c r="T3320" s="17"/>
      <c r="U3320" s="1"/>
    </row>
    <row r="3321" spans="20:21" x14ac:dyDescent="0.45">
      <c r="T3321" s="17"/>
      <c r="U3321" s="1"/>
    </row>
    <row r="3322" spans="20:21" x14ac:dyDescent="0.45">
      <c r="T3322" s="17"/>
      <c r="U3322" s="1"/>
    </row>
    <row r="3323" spans="20:21" x14ac:dyDescent="0.45">
      <c r="T3323" s="17"/>
      <c r="U3323" s="1"/>
    </row>
    <row r="3324" spans="20:21" x14ac:dyDescent="0.45">
      <c r="T3324" s="17"/>
      <c r="U3324" s="1"/>
    </row>
    <row r="3325" spans="20:21" x14ac:dyDescent="0.45">
      <c r="T3325" s="17"/>
      <c r="U3325" s="1"/>
    </row>
    <row r="3326" spans="20:21" x14ac:dyDescent="0.45">
      <c r="T3326" s="17"/>
      <c r="U3326" s="1"/>
    </row>
    <row r="3327" spans="20:21" x14ac:dyDescent="0.45">
      <c r="T3327" s="17"/>
      <c r="U3327" s="1"/>
    </row>
    <row r="3328" spans="20:21" x14ac:dyDescent="0.45">
      <c r="T3328" s="17"/>
      <c r="U3328" s="1"/>
    </row>
    <row r="3329" spans="20:21" x14ac:dyDescent="0.45">
      <c r="T3329" s="17"/>
      <c r="U3329" s="1"/>
    </row>
    <row r="3330" spans="20:21" x14ac:dyDescent="0.45">
      <c r="T3330" s="17"/>
      <c r="U3330" s="1"/>
    </row>
    <row r="3331" spans="20:21" x14ac:dyDescent="0.45">
      <c r="T3331" s="17"/>
      <c r="U3331" s="1"/>
    </row>
    <row r="3332" spans="20:21" x14ac:dyDescent="0.45">
      <c r="T3332" s="17"/>
      <c r="U3332" s="1"/>
    </row>
    <row r="3333" spans="20:21" x14ac:dyDescent="0.45">
      <c r="T3333" s="17"/>
      <c r="U3333" s="1"/>
    </row>
    <row r="3334" spans="20:21" x14ac:dyDescent="0.45">
      <c r="T3334" s="17"/>
      <c r="U3334" s="1"/>
    </row>
    <row r="3335" spans="20:21" x14ac:dyDescent="0.45">
      <c r="T3335" s="17"/>
      <c r="U3335" s="1"/>
    </row>
    <row r="3336" spans="20:21" x14ac:dyDescent="0.45">
      <c r="T3336" s="17"/>
      <c r="U3336" s="1"/>
    </row>
    <row r="3337" spans="20:21" x14ac:dyDescent="0.45">
      <c r="T3337" s="17"/>
      <c r="U3337" s="1"/>
    </row>
    <row r="3338" spans="20:21" x14ac:dyDescent="0.45">
      <c r="T3338" s="17"/>
      <c r="U3338" s="1"/>
    </row>
    <row r="3339" spans="20:21" x14ac:dyDescent="0.45">
      <c r="T3339" s="17"/>
      <c r="U3339" s="1"/>
    </row>
    <row r="3340" spans="20:21" x14ac:dyDescent="0.45">
      <c r="T3340" s="17"/>
      <c r="U3340" s="1"/>
    </row>
    <row r="3341" spans="20:21" x14ac:dyDescent="0.45">
      <c r="T3341" s="17"/>
      <c r="U3341" s="1"/>
    </row>
    <row r="3342" spans="20:21" x14ac:dyDescent="0.45">
      <c r="T3342" s="17"/>
      <c r="U3342" s="1"/>
    </row>
    <row r="3343" spans="20:21" x14ac:dyDescent="0.45">
      <c r="T3343" s="17"/>
      <c r="U3343" s="1"/>
    </row>
    <row r="3344" spans="20:21" x14ac:dyDescent="0.45">
      <c r="T3344" s="17"/>
      <c r="U3344" s="1"/>
    </row>
    <row r="3345" spans="20:21" x14ac:dyDescent="0.45">
      <c r="T3345" s="17"/>
      <c r="U3345" s="1"/>
    </row>
    <row r="3346" spans="20:21" x14ac:dyDescent="0.45">
      <c r="T3346" s="17"/>
      <c r="U3346" s="1"/>
    </row>
    <row r="3347" spans="20:21" x14ac:dyDescent="0.45">
      <c r="T3347" s="17"/>
      <c r="U3347" s="1"/>
    </row>
    <row r="3348" spans="20:21" x14ac:dyDescent="0.45">
      <c r="T3348" s="17"/>
      <c r="U3348" s="1"/>
    </row>
    <row r="3349" spans="20:21" x14ac:dyDescent="0.45">
      <c r="T3349" s="17"/>
      <c r="U3349" s="1"/>
    </row>
    <row r="3350" spans="20:21" x14ac:dyDescent="0.45">
      <c r="T3350" s="17"/>
      <c r="U3350" s="1"/>
    </row>
    <row r="3351" spans="20:21" x14ac:dyDescent="0.45">
      <c r="T3351" s="17"/>
      <c r="U3351" s="1"/>
    </row>
    <row r="3352" spans="20:21" x14ac:dyDescent="0.45">
      <c r="T3352" s="17"/>
      <c r="U3352" s="1"/>
    </row>
    <row r="3353" spans="20:21" x14ac:dyDescent="0.45">
      <c r="T3353" s="17"/>
      <c r="U3353" s="1"/>
    </row>
    <row r="3354" spans="20:21" x14ac:dyDescent="0.45">
      <c r="T3354" s="17"/>
      <c r="U3354" s="1"/>
    </row>
    <row r="3355" spans="20:21" x14ac:dyDescent="0.45">
      <c r="T3355" s="17"/>
      <c r="U3355" s="1"/>
    </row>
    <row r="3356" spans="20:21" x14ac:dyDescent="0.45">
      <c r="T3356" s="17"/>
      <c r="U3356" s="1"/>
    </row>
    <row r="3357" spans="20:21" x14ac:dyDescent="0.45">
      <c r="T3357" s="17"/>
      <c r="U3357" s="1"/>
    </row>
    <row r="3358" spans="20:21" x14ac:dyDescent="0.45">
      <c r="T3358" s="17"/>
      <c r="U3358" s="1"/>
    </row>
    <row r="3359" spans="20:21" x14ac:dyDescent="0.45">
      <c r="T3359" s="17"/>
      <c r="U3359" s="1"/>
    </row>
    <row r="3360" spans="20:21" x14ac:dyDescent="0.45">
      <c r="T3360" s="17"/>
      <c r="U3360" s="1"/>
    </row>
    <row r="3361" spans="20:21" x14ac:dyDescent="0.45">
      <c r="T3361" s="17"/>
      <c r="U3361" s="1"/>
    </row>
    <row r="3362" spans="20:21" x14ac:dyDescent="0.45">
      <c r="T3362" s="17"/>
      <c r="U3362" s="1"/>
    </row>
    <row r="3363" spans="20:21" x14ac:dyDescent="0.45">
      <c r="T3363" s="17"/>
      <c r="U3363" s="1"/>
    </row>
    <row r="3364" spans="20:21" x14ac:dyDescent="0.45">
      <c r="T3364" s="17"/>
      <c r="U3364" s="1"/>
    </row>
    <row r="3365" spans="20:21" x14ac:dyDescent="0.45">
      <c r="T3365" s="17"/>
      <c r="U3365" s="1"/>
    </row>
    <row r="3366" spans="20:21" x14ac:dyDescent="0.45">
      <c r="T3366" s="17"/>
      <c r="U3366" s="1"/>
    </row>
    <row r="3367" spans="20:21" x14ac:dyDescent="0.45">
      <c r="T3367" s="17"/>
      <c r="U3367" s="1"/>
    </row>
    <row r="3368" spans="20:21" x14ac:dyDescent="0.45">
      <c r="T3368" s="17"/>
      <c r="U3368" s="1"/>
    </row>
    <row r="3369" spans="20:21" x14ac:dyDescent="0.45">
      <c r="T3369" s="17"/>
      <c r="U3369" s="1"/>
    </row>
    <row r="3370" spans="20:21" x14ac:dyDescent="0.45">
      <c r="T3370" s="17"/>
      <c r="U3370" s="1"/>
    </row>
    <row r="3371" spans="20:21" x14ac:dyDescent="0.45">
      <c r="T3371" s="17"/>
      <c r="U3371" s="1"/>
    </row>
    <row r="3372" spans="20:21" x14ac:dyDescent="0.45">
      <c r="T3372" s="17"/>
      <c r="U3372" s="1"/>
    </row>
    <row r="3373" spans="20:21" x14ac:dyDescent="0.45">
      <c r="T3373" s="17"/>
      <c r="U3373" s="1"/>
    </row>
    <row r="3374" spans="20:21" x14ac:dyDescent="0.45">
      <c r="T3374" s="17"/>
      <c r="U3374" s="1"/>
    </row>
    <row r="3375" spans="20:21" x14ac:dyDescent="0.45">
      <c r="T3375" s="17"/>
      <c r="U3375" s="1"/>
    </row>
    <row r="3376" spans="20:21" x14ac:dyDescent="0.45">
      <c r="T3376" s="17"/>
      <c r="U3376" s="1"/>
    </row>
    <row r="3377" spans="20:21" x14ac:dyDescent="0.45">
      <c r="T3377" s="17"/>
      <c r="U3377" s="1"/>
    </row>
    <row r="3378" spans="20:21" x14ac:dyDescent="0.45">
      <c r="T3378" s="17"/>
      <c r="U3378" s="1"/>
    </row>
    <row r="3379" spans="20:21" x14ac:dyDescent="0.45">
      <c r="T3379" s="17"/>
      <c r="U3379" s="1"/>
    </row>
    <row r="3380" spans="20:21" x14ac:dyDescent="0.45">
      <c r="T3380" s="17"/>
      <c r="U3380" s="1"/>
    </row>
    <row r="3381" spans="20:21" x14ac:dyDescent="0.45">
      <c r="T3381" s="17"/>
      <c r="U3381" s="1"/>
    </row>
    <row r="3382" spans="20:21" x14ac:dyDescent="0.45">
      <c r="T3382" s="17"/>
      <c r="U3382" s="1"/>
    </row>
    <row r="3383" spans="20:21" x14ac:dyDescent="0.45">
      <c r="T3383" s="17"/>
      <c r="U3383" s="1"/>
    </row>
    <row r="3384" spans="20:21" x14ac:dyDescent="0.45">
      <c r="T3384" s="17"/>
      <c r="U3384" s="1"/>
    </row>
    <row r="3385" spans="20:21" x14ac:dyDescent="0.45">
      <c r="T3385" s="17"/>
      <c r="U3385" s="1"/>
    </row>
    <row r="3386" spans="20:21" x14ac:dyDescent="0.45">
      <c r="T3386" s="17"/>
      <c r="U3386" s="1"/>
    </row>
    <row r="3387" spans="20:21" x14ac:dyDescent="0.45">
      <c r="T3387" s="17"/>
      <c r="U3387" s="1"/>
    </row>
    <row r="3388" spans="20:21" x14ac:dyDescent="0.45">
      <c r="T3388" s="17"/>
      <c r="U3388" s="1"/>
    </row>
    <row r="3389" spans="20:21" x14ac:dyDescent="0.45">
      <c r="T3389" s="17"/>
      <c r="U3389" s="1"/>
    </row>
    <row r="3390" spans="20:21" x14ac:dyDescent="0.45">
      <c r="T3390" s="17"/>
      <c r="U3390" s="1"/>
    </row>
    <row r="3391" spans="20:21" x14ac:dyDescent="0.45">
      <c r="T3391" s="17"/>
      <c r="U3391" s="1"/>
    </row>
    <row r="3392" spans="20:21" x14ac:dyDescent="0.45">
      <c r="T3392" s="17"/>
      <c r="U3392" s="1"/>
    </row>
    <row r="3393" spans="20:21" x14ac:dyDescent="0.45">
      <c r="T3393" s="17"/>
      <c r="U3393" s="1"/>
    </row>
    <row r="3394" spans="20:21" x14ac:dyDescent="0.45">
      <c r="T3394" s="17"/>
      <c r="U3394" s="1"/>
    </row>
    <row r="3395" spans="20:21" x14ac:dyDescent="0.45">
      <c r="T3395" s="17"/>
      <c r="U3395" s="1"/>
    </row>
    <row r="3396" spans="20:21" x14ac:dyDescent="0.45">
      <c r="T3396" s="17"/>
      <c r="U3396" s="1"/>
    </row>
    <row r="3397" spans="20:21" x14ac:dyDescent="0.45">
      <c r="T3397" s="17"/>
      <c r="U3397" s="1"/>
    </row>
    <row r="3398" spans="20:21" x14ac:dyDescent="0.45">
      <c r="T3398" s="17"/>
      <c r="U3398" s="1"/>
    </row>
    <row r="3399" spans="20:21" x14ac:dyDescent="0.45">
      <c r="T3399" s="17"/>
      <c r="U3399" s="1"/>
    </row>
    <row r="3400" spans="20:21" x14ac:dyDescent="0.45">
      <c r="T3400" s="17"/>
      <c r="U3400" s="1"/>
    </row>
    <row r="3401" spans="20:21" x14ac:dyDescent="0.45">
      <c r="T3401" s="17"/>
      <c r="U3401" s="1"/>
    </row>
    <row r="3402" spans="20:21" x14ac:dyDescent="0.45">
      <c r="T3402" s="17"/>
      <c r="U3402" s="1"/>
    </row>
    <row r="3403" spans="20:21" x14ac:dyDescent="0.45">
      <c r="T3403" s="17"/>
      <c r="U3403" s="1"/>
    </row>
    <row r="3404" spans="20:21" x14ac:dyDescent="0.45">
      <c r="T3404" s="17"/>
      <c r="U3404" s="1"/>
    </row>
    <row r="3405" spans="20:21" x14ac:dyDescent="0.45">
      <c r="T3405" s="17"/>
      <c r="U3405" s="1"/>
    </row>
    <row r="3406" spans="20:21" x14ac:dyDescent="0.45">
      <c r="T3406" s="17"/>
      <c r="U3406" s="1"/>
    </row>
    <row r="3407" spans="20:21" x14ac:dyDescent="0.45">
      <c r="T3407" s="17"/>
      <c r="U3407" s="1"/>
    </row>
    <row r="3408" spans="20:21" x14ac:dyDescent="0.45">
      <c r="T3408" s="17"/>
      <c r="U3408" s="1"/>
    </row>
    <row r="3409" spans="20:21" x14ac:dyDescent="0.45">
      <c r="T3409" s="17"/>
      <c r="U3409" s="1"/>
    </row>
    <row r="3410" spans="20:21" x14ac:dyDescent="0.45">
      <c r="T3410" s="17"/>
      <c r="U3410" s="1"/>
    </row>
    <row r="3411" spans="20:21" x14ac:dyDescent="0.45">
      <c r="T3411" s="17"/>
      <c r="U3411" s="1"/>
    </row>
    <row r="3412" spans="20:21" x14ac:dyDescent="0.45">
      <c r="T3412" s="17"/>
      <c r="U3412" s="1"/>
    </row>
    <row r="3413" spans="20:21" x14ac:dyDescent="0.45">
      <c r="T3413" s="17"/>
      <c r="U3413" s="1"/>
    </row>
    <row r="3414" spans="20:21" x14ac:dyDescent="0.45">
      <c r="T3414" s="17"/>
      <c r="U3414" s="1"/>
    </row>
    <row r="3415" spans="20:21" x14ac:dyDescent="0.45">
      <c r="T3415" s="17"/>
      <c r="U3415" s="1"/>
    </row>
    <row r="3416" spans="20:21" x14ac:dyDescent="0.45">
      <c r="T3416" s="17"/>
      <c r="U3416" s="1"/>
    </row>
    <row r="3417" spans="20:21" x14ac:dyDescent="0.45">
      <c r="T3417" s="17"/>
      <c r="U3417" s="1"/>
    </row>
    <row r="3418" spans="20:21" x14ac:dyDescent="0.45">
      <c r="T3418" s="17"/>
      <c r="U3418" s="1"/>
    </row>
    <row r="3419" spans="20:21" x14ac:dyDescent="0.45">
      <c r="T3419" s="17"/>
      <c r="U3419" s="1"/>
    </row>
    <row r="3420" spans="20:21" x14ac:dyDescent="0.45">
      <c r="T3420" s="17"/>
      <c r="U3420" s="1"/>
    </row>
    <row r="3421" spans="20:21" x14ac:dyDescent="0.45">
      <c r="T3421" s="17"/>
      <c r="U3421" s="1"/>
    </row>
    <row r="3422" spans="20:21" x14ac:dyDescent="0.45">
      <c r="T3422" s="17"/>
      <c r="U3422" s="1"/>
    </row>
    <row r="3423" spans="20:21" x14ac:dyDescent="0.45">
      <c r="T3423" s="17"/>
      <c r="U3423" s="1"/>
    </row>
    <row r="3424" spans="20:21" x14ac:dyDescent="0.45">
      <c r="T3424" s="17"/>
      <c r="U3424" s="1"/>
    </row>
    <row r="3425" spans="20:21" x14ac:dyDescent="0.45">
      <c r="T3425" s="17"/>
      <c r="U3425" s="1"/>
    </row>
    <row r="3426" spans="20:21" x14ac:dyDescent="0.45">
      <c r="T3426" s="17"/>
      <c r="U3426" s="1"/>
    </row>
    <row r="3427" spans="20:21" x14ac:dyDescent="0.45">
      <c r="T3427" s="17"/>
      <c r="U3427" s="1"/>
    </row>
    <row r="3428" spans="20:21" x14ac:dyDescent="0.45">
      <c r="T3428" s="17"/>
      <c r="U3428" s="1"/>
    </row>
    <row r="3429" spans="20:21" x14ac:dyDescent="0.45">
      <c r="T3429" s="17"/>
      <c r="U3429" s="1"/>
    </row>
    <row r="3430" spans="20:21" x14ac:dyDescent="0.45">
      <c r="T3430" s="17"/>
      <c r="U3430" s="1"/>
    </row>
    <row r="3431" spans="20:21" x14ac:dyDescent="0.45">
      <c r="T3431" s="17"/>
      <c r="U3431" s="1"/>
    </row>
    <row r="3432" spans="20:21" x14ac:dyDescent="0.45">
      <c r="T3432" s="17"/>
      <c r="U3432" s="1"/>
    </row>
    <row r="3433" spans="20:21" x14ac:dyDescent="0.45">
      <c r="T3433" s="17"/>
      <c r="U3433" s="1"/>
    </row>
    <row r="3434" spans="20:21" x14ac:dyDescent="0.45">
      <c r="T3434" s="17"/>
      <c r="U3434" s="1"/>
    </row>
    <row r="3435" spans="20:21" x14ac:dyDescent="0.45">
      <c r="T3435" s="17"/>
      <c r="U3435" s="1"/>
    </row>
    <row r="3436" spans="20:21" x14ac:dyDescent="0.45">
      <c r="T3436" s="17"/>
      <c r="U3436" s="1"/>
    </row>
    <row r="3437" spans="20:21" x14ac:dyDescent="0.45">
      <c r="T3437" s="17"/>
      <c r="U3437" s="1"/>
    </row>
    <row r="3438" spans="20:21" x14ac:dyDescent="0.45">
      <c r="T3438" s="17"/>
      <c r="U3438" s="1"/>
    </row>
    <row r="3439" spans="20:21" x14ac:dyDescent="0.45">
      <c r="T3439" s="17"/>
      <c r="U3439" s="1"/>
    </row>
    <row r="3440" spans="20:21" x14ac:dyDescent="0.45">
      <c r="T3440" s="17"/>
      <c r="U3440" s="1"/>
    </row>
    <row r="3441" spans="20:21" x14ac:dyDescent="0.45">
      <c r="T3441" s="17"/>
      <c r="U3441" s="1"/>
    </row>
    <row r="3442" spans="20:21" x14ac:dyDescent="0.45">
      <c r="T3442" s="17"/>
      <c r="U3442" s="1"/>
    </row>
    <row r="3443" spans="20:21" x14ac:dyDescent="0.45">
      <c r="T3443" s="17"/>
      <c r="U3443" s="1"/>
    </row>
    <row r="3444" spans="20:21" x14ac:dyDescent="0.45">
      <c r="T3444" s="17"/>
      <c r="U3444" s="1"/>
    </row>
    <row r="3445" spans="20:21" x14ac:dyDescent="0.45">
      <c r="T3445" s="17"/>
      <c r="U3445" s="1"/>
    </row>
    <row r="3446" spans="20:21" x14ac:dyDescent="0.45">
      <c r="T3446" s="17"/>
      <c r="U3446" s="1"/>
    </row>
    <row r="3447" spans="20:21" x14ac:dyDescent="0.45">
      <c r="T3447" s="17"/>
      <c r="U3447" s="1"/>
    </row>
    <row r="3448" spans="20:21" x14ac:dyDescent="0.45">
      <c r="T3448" s="17"/>
      <c r="U3448" s="1"/>
    </row>
    <row r="3449" spans="20:21" x14ac:dyDescent="0.45">
      <c r="T3449" s="17"/>
      <c r="U3449" s="1"/>
    </row>
    <row r="3450" spans="20:21" x14ac:dyDescent="0.45">
      <c r="T3450" s="17"/>
      <c r="U3450" s="1"/>
    </row>
    <row r="3451" spans="20:21" x14ac:dyDescent="0.45">
      <c r="T3451" s="17"/>
      <c r="U3451" s="1"/>
    </row>
    <row r="3452" spans="20:21" x14ac:dyDescent="0.45">
      <c r="T3452" s="17"/>
      <c r="U3452" s="1"/>
    </row>
    <row r="3453" spans="20:21" x14ac:dyDescent="0.45">
      <c r="T3453" s="17"/>
      <c r="U3453" s="1"/>
    </row>
    <row r="3454" spans="20:21" x14ac:dyDescent="0.45">
      <c r="T3454" s="17"/>
      <c r="U3454" s="1"/>
    </row>
    <row r="3455" spans="20:21" x14ac:dyDescent="0.45">
      <c r="T3455" s="17"/>
      <c r="U3455" s="1"/>
    </row>
    <row r="3456" spans="20:21" x14ac:dyDescent="0.45">
      <c r="T3456" s="17"/>
      <c r="U3456" s="1"/>
    </row>
    <row r="3457" spans="20:21" x14ac:dyDescent="0.45">
      <c r="T3457" s="17"/>
      <c r="U3457" s="1"/>
    </row>
    <row r="3458" spans="20:21" x14ac:dyDescent="0.45">
      <c r="T3458" s="17"/>
      <c r="U3458" s="1"/>
    </row>
    <row r="3459" spans="20:21" x14ac:dyDescent="0.45">
      <c r="T3459" s="17"/>
      <c r="U3459" s="1"/>
    </row>
    <row r="3460" spans="20:21" x14ac:dyDescent="0.45">
      <c r="T3460" s="17"/>
      <c r="U3460" s="1"/>
    </row>
    <row r="3461" spans="20:21" x14ac:dyDescent="0.45">
      <c r="T3461" s="17"/>
      <c r="U3461" s="1"/>
    </row>
    <row r="3462" spans="20:21" x14ac:dyDescent="0.45">
      <c r="T3462" s="17"/>
      <c r="U3462" s="1"/>
    </row>
    <row r="3463" spans="20:21" x14ac:dyDescent="0.45">
      <c r="T3463" s="17"/>
      <c r="U3463" s="1"/>
    </row>
    <row r="3464" spans="20:21" x14ac:dyDescent="0.45">
      <c r="T3464" s="17"/>
      <c r="U3464" s="1"/>
    </row>
    <row r="3465" spans="20:21" x14ac:dyDescent="0.45">
      <c r="T3465" s="17"/>
      <c r="U3465" s="1"/>
    </row>
    <row r="3466" spans="20:21" x14ac:dyDescent="0.45">
      <c r="T3466" s="17"/>
      <c r="U3466" s="1"/>
    </row>
    <row r="3467" spans="20:21" x14ac:dyDescent="0.45">
      <c r="T3467" s="17"/>
      <c r="U3467" s="1"/>
    </row>
    <row r="3468" spans="20:21" x14ac:dyDescent="0.45">
      <c r="T3468" s="17"/>
      <c r="U3468" s="1"/>
    </row>
    <row r="3469" spans="20:21" x14ac:dyDescent="0.45">
      <c r="T3469" s="17"/>
      <c r="U3469" s="1"/>
    </row>
    <row r="3470" spans="20:21" x14ac:dyDescent="0.45">
      <c r="T3470" s="17"/>
      <c r="U3470" s="1"/>
    </row>
    <row r="3471" spans="20:21" x14ac:dyDescent="0.45">
      <c r="T3471" s="17"/>
      <c r="U3471" s="1"/>
    </row>
    <row r="3472" spans="20:21" x14ac:dyDescent="0.45">
      <c r="T3472" s="17"/>
      <c r="U3472" s="1"/>
    </row>
    <row r="3473" spans="20:21" x14ac:dyDescent="0.45">
      <c r="T3473" s="17"/>
      <c r="U3473" s="1"/>
    </row>
    <row r="3474" spans="20:21" x14ac:dyDescent="0.45">
      <c r="T3474" s="17"/>
      <c r="U3474" s="1"/>
    </row>
    <row r="3475" spans="20:21" x14ac:dyDescent="0.45">
      <c r="T3475" s="17"/>
      <c r="U3475" s="1"/>
    </row>
    <row r="3476" spans="20:21" x14ac:dyDescent="0.45">
      <c r="T3476" s="17"/>
      <c r="U3476" s="1"/>
    </row>
    <row r="3477" spans="20:21" x14ac:dyDescent="0.45">
      <c r="T3477" s="17"/>
      <c r="U3477" s="1"/>
    </row>
    <row r="3478" spans="20:21" x14ac:dyDescent="0.45">
      <c r="T3478" s="17"/>
      <c r="U3478" s="1"/>
    </row>
    <row r="3479" spans="20:21" x14ac:dyDescent="0.45">
      <c r="T3479" s="17"/>
      <c r="U3479" s="1"/>
    </row>
    <row r="3480" spans="20:21" x14ac:dyDescent="0.45">
      <c r="T3480" s="17"/>
      <c r="U3480" s="1"/>
    </row>
    <row r="3481" spans="20:21" x14ac:dyDescent="0.45">
      <c r="T3481" s="17"/>
      <c r="U3481" s="1"/>
    </row>
    <row r="3482" spans="20:21" x14ac:dyDescent="0.45">
      <c r="T3482" s="17"/>
      <c r="U3482" s="1"/>
    </row>
    <row r="3483" spans="20:21" x14ac:dyDescent="0.45">
      <c r="T3483" s="17"/>
      <c r="U3483" s="1"/>
    </row>
    <row r="3484" spans="20:21" x14ac:dyDescent="0.45">
      <c r="T3484" s="17"/>
      <c r="U3484" s="1"/>
    </row>
    <row r="3485" spans="20:21" x14ac:dyDescent="0.45">
      <c r="T3485" s="17"/>
      <c r="U3485" s="1"/>
    </row>
    <row r="3486" spans="20:21" x14ac:dyDescent="0.45">
      <c r="T3486" s="17"/>
      <c r="U3486" s="1"/>
    </row>
    <row r="3487" spans="20:21" x14ac:dyDescent="0.45">
      <c r="T3487" s="17"/>
      <c r="U3487" s="1"/>
    </row>
    <row r="3488" spans="20:21" x14ac:dyDescent="0.45">
      <c r="T3488" s="17"/>
      <c r="U3488" s="1"/>
    </row>
    <row r="3489" spans="20:21" x14ac:dyDescent="0.45">
      <c r="T3489" s="17"/>
      <c r="U3489" s="1"/>
    </row>
    <row r="3490" spans="20:21" x14ac:dyDescent="0.45">
      <c r="T3490" s="17"/>
      <c r="U3490" s="1"/>
    </row>
    <row r="3491" spans="20:21" x14ac:dyDescent="0.45">
      <c r="T3491" s="17"/>
      <c r="U3491" s="1"/>
    </row>
    <row r="3492" spans="20:21" x14ac:dyDescent="0.45">
      <c r="T3492" s="17"/>
      <c r="U3492" s="1"/>
    </row>
    <row r="3493" spans="20:21" x14ac:dyDescent="0.45">
      <c r="T3493" s="17"/>
      <c r="U3493" s="1"/>
    </row>
    <row r="3494" spans="20:21" x14ac:dyDescent="0.45">
      <c r="T3494" s="17"/>
      <c r="U3494" s="1"/>
    </row>
    <row r="3495" spans="20:21" x14ac:dyDescent="0.45">
      <c r="T3495" s="17"/>
      <c r="U3495" s="1"/>
    </row>
    <row r="3496" spans="20:21" x14ac:dyDescent="0.45">
      <c r="T3496" s="17"/>
      <c r="U3496" s="1"/>
    </row>
    <row r="3497" spans="20:21" x14ac:dyDescent="0.45">
      <c r="T3497" s="17"/>
      <c r="U3497" s="1"/>
    </row>
    <row r="3498" spans="20:21" x14ac:dyDescent="0.45">
      <c r="T3498" s="17"/>
      <c r="U3498" s="1"/>
    </row>
    <row r="3499" spans="20:21" x14ac:dyDescent="0.45">
      <c r="T3499" s="17"/>
      <c r="U3499" s="1"/>
    </row>
    <row r="3500" spans="20:21" x14ac:dyDescent="0.45">
      <c r="T3500" s="17"/>
      <c r="U3500" s="1"/>
    </row>
    <row r="3501" spans="20:21" x14ac:dyDescent="0.45">
      <c r="T3501" s="17"/>
      <c r="U3501" s="1"/>
    </row>
    <row r="3502" spans="20:21" x14ac:dyDescent="0.45">
      <c r="T3502" s="17"/>
      <c r="U3502" s="1"/>
    </row>
    <row r="3503" spans="20:21" x14ac:dyDescent="0.45">
      <c r="T3503" s="17"/>
      <c r="U3503" s="1"/>
    </row>
    <row r="3504" spans="20:21" x14ac:dyDescent="0.45">
      <c r="T3504" s="17"/>
      <c r="U3504" s="1"/>
    </row>
    <row r="3505" spans="20:21" x14ac:dyDescent="0.45">
      <c r="T3505" s="17"/>
      <c r="U3505" s="1"/>
    </row>
    <row r="3506" spans="20:21" x14ac:dyDescent="0.45">
      <c r="T3506" s="17"/>
      <c r="U3506" s="1"/>
    </row>
    <row r="3507" spans="20:21" x14ac:dyDescent="0.45">
      <c r="T3507" s="17"/>
      <c r="U3507" s="1"/>
    </row>
    <row r="3508" spans="20:21" x14ac:dyDescent="0.45">
      <c r="T3508" s="17"/>
      <c r="U3508" s="1"/>
    </row>
    <row r="3509" spans="20:21" x14ac:dyDescent="0.45">
      <c r="T3509" s="17"/>
      <c r="U3509" s="1"/>
    </row>
    <row r="3510" spans="20:21" x14ac:dyDescent="0.45">
      <c r="T3510" s="17"/>
      <c r="U3510" s="1"/>
    </row>
    <row r="3511" spans="20:21" x14ac:dyDescent="0.45">
      <c r="T3511" s="17"/>
      <c r="U3511" s="1"/>
    </row>
    <row r="3512" spans="20:21" x14ac:dyDescent="0.45">
      <c r="T3512" s="17"/>
      <c r="U3512" s="1"/>
    </row>
    <row r="3513" spans="20:21" x14ac:dyDescent="0.45">
      <c r="T3513" s="17"/>
      <c r="U3513" s="1"/>
    </row>
    <row r="3514" spans="20:21" x14ac:dyDescent="0.45">
      <c r="T3514" s="17"/>
      <c r="U3514" s="1"/>
    </row>
    <row r="3515" spans="20:21" x14ac:dyDescent="0.45">
      <c r="T3515" s="17"/>
      <c r="U3515" s="1"/>
    </row>
    <row r="3516" spans="20:21" x14ac:dyDescent="0.45">
      <c r="T3516" s="17"/>
      <c r="U3516" s="1"/>
    </row>
    <row r="3517" spans="20:21" x14ac:dyDescent="0.45">
      <c r="T3517" s="17"/>
      <c r="U3517" s="1"/>
    </row>
    <row r="3518" spans="20:21" x14ac:dyDescent="0.45">
      <c r="T3518" s="17"/>
      <c r="U3518" s="1"/>
    </row>
    <row r="3519" spans="20:21" x14ac:dyDescent="0.45">
      <c r="T3519" s="17"/>
      <c r="U3519" s="1"/>
    </row>
    <row r="3520" spans="20:21" x14ac:dyDescent="0.45">
      <c r="T3520" s="17"/>
      <c r="U3520" s="1"/>
    </row>
    <row r="3521" spans="20:21" x14ac:dyDescent="0.45">
      <c r="T3521" s="17"/>
      <c r="U3521" s="1"/>
    </row>
    <row r="3522" spans="20:21" x14ac:dyDescent="0.45">
      <c r="T3522" s="17"/>
      <c r="U3522" s="1"/>
    </row>
    <row r="3523" spans="20:21" x14ac:dyDescent="0.45">
      <c r="T3523" s="17"/>
      <c r="U3523" s="1"/>
    </row>
    <row r="3524" spans="20:21" x14ac:dyDescent="0.45">
      <c r="T3524" s="17"/>
      <c r="U3524" s="1"/>
    </row>
    <row r="3525" spans="20:21" x14ac:dyDescent="0.45">
      <c r="T3525" s="17"/>
      <c r="U3525" s="1"/>
    </row>
    <row r="3526" spans="20:21" x14ac:dyDescent="0.45">
      <c r="T3526" s="17"/>
      <c r="U3526" s="1"/>
    </row>
    <row r="3527" spans="20:21" x14ac:dyDescent="0.45">
      <c r="T3527" s="17"/>
      <c r="U3527" s="1"/>
    </row>
    <row r="3528" spans="20:21" x14ac:dyDescent="0.45">
      <c r="T3528" s="17"/>
      <c r="U3528" s="1"/>
    </row>
    <row r="3529" spans="20:21" x14ac:dyDescent="0.45">
      <c r="T3529" s="17"/>
      <c r="U3529" s="1"/>
    </row>
    <row r="3530" spans="20:21" x14ac:dyDescent="0.45">
      <c r="T3530" s="17"/>
      <c r="U3530" s="1"/>
    </row>
    <row r="3531" spans="20:21" x14ac:dyDescent="0.45">
      <c r="T3531" s="17"/>
      <c r="U3531" s="1"/>
    </row>
    <row r="3532" spans="20:21" x14ac:dyDescent="0.45">
      <c r="T3532" s="17"/>
      <c r="U3532" s="1"/>
    </row>
    <row r="3533" spans="20:21" x14ac:dyDescent="0.45">
      <c r="T3533" s="17"/>
      <c r="U3533" s="1"/>
    </row>
    <row r="3534" spans="20:21" x14ac:dyDescent="0.45">
      <c r="T3534" s="17"/>
      <c r="U3534" s="1"/>
    </row>
    <row r="3535" spans="20:21" x14ac:dyDescent="0.45">
      <c r="T3535" s="17"/>
      <c r="U3535" s="1"/>
    </row>
    <row r="3536" spans="20:21" x14ac:dyDescent="0.45">
      <c r="T3536" s="17"/>
      <c r="U3536" s="1"/>
    </row>
    <row r="3537" spans="20:21" x14ac:dyDescent="0.45">
      <c r="T3537" s="17"/>
      <c r="U3537" s="1"/>
    </row>
    <row r="3538" spans="20:21" x14ac:dyDescent="0.45">
      <c r="T3538" s="17"/>
      <c r="U3538" s="1"/>
    </row>
    <row r="3539" spans="20:21" x14ac:dyDescent="0.45">
      <c r="T3539" s="17"/>
      <c r="U3539" s="1"/>
    </row>
    <row r="3540" spans="20:21" x14ac:dyDescent="0.45">
      <c r="T3540" s="17"/>
      <c r="U3540" s="1"/>
    </row>
    <row r="3541" spans="20:21" x14ac:dyDescent="0.45">
      <c r="T3541" s="17"/>
      <c r="U3541" s="1"/>
    </row>
    <row r="3542" spans="20:21" x14ac:dyDescent="0.45">
      <c r="T3542" s="17"/>
      <c r="U3542" s="1"/>
    </row>
    <row r="3543" spans="20:21" x14ac:dyDescent="0.45">
      <c r="T3543" s="17"/>
      <c r="U3543" s="1"/>
    </row>
    <row r="3544" spans="20:21" x14ac:dyDescent="0.45">
      <c r="T3544" s="17"/>
      <c r="U3544" s="1"/>
    </row>
    <row r="3545" spans="20:21" x14ac:dyDescent="0.45">
      <c r="T3545" s="17"/>
      <c r="U3545" s="1"/>
    </row>
    <row r="3546" spans="20:21" x14ac:dyDescent="0.45">
      <c r="T3546" s="17"/>
      <c r="U3546" s="1"/>
    </row>
    <row r="3547" spans="20:21" x14ac:dyDescent="0.45">
      <c r="T3547" s="17"/>
      <c r="U3547" s="1"/>
    </row>
    <row r="3548" spans="20:21" x14ac:dyDescent="0.45">
      <c r="T3548" s="17"/>
      <c r="U3548" s="1"/>
    </row>
    <row r="3549" spans="20:21" x14ac:dyDescent="0.45">
      <c r="T3549" s="17"/>
      <c r="U3549" s="1"/>
    </row>
    <row r="3550" spans="20:21" x14ac:dyDescent="0.45">
      <c r="T3550" s="17"/>
      <c r="U3550" s="1"/>
    </row>
    <row r="3551" spans="20:21" x14ac:dyDescent="0.45">
      <c r="T3551" s="17"/>
      <c r="U3551" s="1"/>
    </row>
    <row r="3552" spans="20:21" x14ac:dyDescent="0.45">
      <c r="T3552" s="17"/>
      <c r="U3552" s="1"/>
    </row>
    <row r="3553" spans="20:21" x14ac:dyDescent="0.45">
      <c r="T3553" s="17"/>
      <c r="U3553" s="1"/>
    </row>
    <row r="3554" spans="20:21" x14ac:dyDescent="0.45">
      <c r="T3554" s="17"/>
      <c r="U3554" s="1"/>
    </row>
    <row r="3555" spans="20:21" x14ac:dyDescent="0.45">
      <c r="T3555" s="17"/>
      <c r="U3555" s="1"/>
    </row>
    <row r="3556" spans="20:21" x14ac:dyDescent="0.45">
      <c r="T3556" s="17"/>
      <c r="U3556" s="1"/>
    </row>
    <row r="3557" spans="20:21" x14ac:dyDescent="0.45">
      <c r="T3557" s="17"/>
      <c r="U3557" s="1"/>
    </row>
    <row r="3558" spans="20:21" x14ac:dyDescent="0.45">
      <c r="T3558" s="17"/>
      <c r="U3558" s="1"/>
    </row>
    <row r="3559" spans="20:21" x14ac:dyDescent="0.45">
      <c r="T3559" s="17"/>
      <c r="U3559" s="1"/>
    </row>
    <row r="3560" spans="20:21" x14ac:dyDescent="0.45">
      <c r="T3560" s="17"/>
      <c r="U3560" s="1"/>
    </row>
    <row r="3561" spans="20:21" x14ac:dyDescent="0.45">
      <c r="T3561" s="17"/>
      <c r="U3561" s="1"/>
    </row>
    <row r="3562" spans="20:21" x14ac:dyDescent="0.45">
      <c r="T3562" s="17"/>
      <c r="U3562" s="1"/>
    </row>
    <row r="3563" spans="20:21" x14ac:dyDescent="0.45">
      <c r="T3563" s="17"/>
      <c r="U3563" s="1"/>
    </row>
    <row r="3564" spans="20:21" x14ac:dyDescent="0.45">
      <c r="T3564" s="17"/>
      <c r="U3564" s="1"/>
    </row>
    <row r="3565" spans="20:21" x14ac:dyDescent="0.45">
      <c r="T3565" s="17"/>
      <c r="U3565" s="1"/>
    </row>
    <row r="3566" spans="20:21" x14ac:dyDescent="0.45">
      <c r="T3566" s="17"/>
      <c r="U3566" s="1"/>
    </row>
    <row r="3567" spans="20:21" x14ac:dyDescent="0.45">
      <c r="T3567" s="17"/>
      <c r="U3567" s="1"/>
    </row>
    <row r="3568" spans="20:21" x14ac:dyDescent="0.45">
      <c r="T3568" s="17"/>
      <c r="U3568" s="1"/>
    </row>
    <row r="3569" spans="20:21" x14ac:dyDescent="0.45">
      <c r="T3569" s="17"/>
      <c r="U3569" s="1"/>
    </row>
    <row r="3570" spans="20:21" x14ac:dyDescent="0.45">
      <c r="T3570" s="17"/>
      <c r="U3570" s="1"/>
    </row>
    <row r="3571" spans="20:21" x14ac:dyDescent="0.45">
      <c r="T3571" s="17"/>
      <c r="U3571" s="1"/>
    </row>
    <row r="3572" spans="20:21" x14ac:dyDescent="0.45">
      <c r="T3572" s="17"/>
      <c r="U3572" s="1"/>
    </row>
    <row r="3573" spans="20:21" x14ac:dyDescent="0.45">
      <c r="T3573" s="17"/>
      <c r="U3573" s="1"/>
    </row>
    <row r="3574" spans="20:21" x14ac:dyDescent="0.45">
      <c r="T3574" s="17"/>
      <c r="U3574" s="1"/>
    </row>
    <row r="3575" spans="20:21" x14ac:dyDescent="0.45">
      <c r="T3575" s="17"/>
      <c r="U3575" s="1"/>
    </row>
    <row r="3576" spans="20:21" x14ac:dyDescent="0.45">
      <c r="T3576" s="17"/>
      <c r="U3576" s="1"/>
    </row>
    <row r="3577" spans="20:21" x14ac:dyDescent="0.45">
      <c r="T3577" s="17"/>
      <c r="U3577" s="1"/>
    </row>
    <row r="3578" spans="20:21" x14ac:dyDescent="0.45">
      <c r="T3578" s="17"/>
      <c r="U3578" s="1"/>
    </row>
    <row r="3579" spans="20:21" x14ac:dyDescent="0.45">
      <c r="T3579" s="17"/>
      <c r="U3579" s="1"/>
    </row>
    <row r="3580" spans="20:21" x14ac:dyDescent="0.45">
      <c r="T3580" s="17"/>
      <c r="U3580" s="1"/>
    </row>
    <row r="3581" spans="20:21" x14ac:dyDescent="0.45">
      <c r="T3581" s="17"/>
      <c r="U3581" s="1"/>
    </row>
    <row r="3582" spans="20:21" x14ac:dyDescent="0.45">
      <c r="T3582" s="17"/>
      <c r="U3582" s="1"/>
    </row>
    <row r="3583" spans="20:21" x14ac:dyDescent="0.45">
      <c r="T3583" s="17"/>
      <c r="U3583" s="1"/>
    </row>
    <row r="3584" spans="20:21" x14ac:dyDescent="0.45">
      <c r="T3584" s="17"/>
      <c r="U3584" s="1"/>
    </row>
    <row r="3585" spans="20:21" x14ac:dyDescent="0.45">
      <c r="T3585" s="17"/>
      <c r="U3585" s="1"/>
    </row>
    <row r="3586" spans="20:21" x14ac:dyDescent="0.45">
      <c r="T3586" s="17"/>
      <c r="U3586" s="1"/>
    </row>
    <row r="3587" spans="20:21" x14ac:dyDescent="0.45">
      <c r="T3587" s="17"/>
      <c r="U3587" s="1"/>
    </row>
    <row r="3588" spans="20:21" x14ac:dyDescent="0.45">
      <c r="T3588" s="17"/>
      <c r="U3588" s="1"/>
    </row>
    <row r="3589" spans="20:21" x14ac:dyDescent="0.45">
      <c r="T3589" s="17"/>
      <c r="U3589" s="1"/>
    </row>
    <row r="3590" spans="20:21" x14ac:dyDescent="0.45">
      <c r="T3590" s="17"/>
      <c r="U3590" s="1"/>
    </row>
    <row r="3591" spans="20:21" x14ac:dyDescent="0.45">
      <c r="T3591" s="17"/>
      <c r="U3591" s="1"/>
    </row>
    <row r="3592" spans="20:21" x14ac:dyDescent="0.45">
      <c r="T3592" s="17"/>
      <c r="U3592" s="1"/>
    </row>
    <row r="3593" spans="20:21" x14ac:dyDescent="0.45">
      <c r="T3593" s="17"/>
      <c r="U3593" s="1"/>
    </row>
    <row r="3594" spans="20:21" x14ac:dyDescent="0.45">
      <c r="T3594" s="17"/>
      <c r="U3594" s="1"/>
    </row>
    <row r="3595" spans="20:21" x14ac:dyDescent="0.45">
      <c r="T3595" s="17"/>
      <c r="U3595" s="1"/>
    </row>
    <row r="3596" spans="20:21" x14ac:dyDescent="0.45">
      <c r="T3596" s="17"/>
      <c r="U3596" s="1"/>
    </row>
    <row r="3597" spans="20:21" x14ac:dyDescent="0.45">
      <c r="T3597" s="17"/>
      <c r="U3597" s="1"/>
    </row>
    <row r="3598" spans="20:21" x14ac:dyDescent="0.45">
      <c r="T3598" s="17"/>
      <c r="U3598" s="1"/>
    </row>
    <row r="3599" spans="20:21" x14ac:dyDescent="0.45">
      <c r="T3599" s="17"/>
      <c r="U3599" s="1"/>
    </row>
    <row r="3600" spans="20:21" x14ac:dyDescent="0.45">
      <c r="T3600" s="17"/>
      <c r="U3600" s="1"/>
    </row>
    <row r="3601" spans="20:21" x14ac:dyDescent="0.45">
      <c r="T3601" s="17"/>
      <c r="U3601" s="1"/>
    </row>
    <row r="3602" spans="20:21" x14ac:dyDescent="0.45">
      <c r="T3602" s="17"/>
      <c r="U3602" s="1"/>
    </row>
    <row r="3603" spans="20:21" x14ac:dyDescent="0.45">
      <c r="T3603" s="17"/>
      <c r="U3603" s="1"/>
    </row>
    <row r="3604" spans="20:21" x14ac:dyDescent="0.45">
      <c r="T3604" s="17"/>
      <c r="U3604" s="1"/>
    </row>
    <row r="3605" spans="20:21" x14ac:dyDescent="0.45">
      <c r="T3605" s="17"/>
      <c r="U3605" s="1"/>
    </row>
    <row r="3606" spans="20:21" x14ac:dyDescent="0.45">
      <c r="T3606" s="17"/>
      <c r="U3606" s="1"/>
    </row>
    <row r="3607" spans="20:21" x14ac:dyDescent="0.45">
      <c r="T3607" s="17"/>
      <c r="U3607" s="1"/>
    </row>
    <row r="3608" spans="20:21" x14ac:dyDescent="0.45">
      <c r="T3608" s="17"/>
      <c r="U3608" s="1"/>
    </row>
    <row r="3609" spans="20:21" x14ac:dyDescent="0.45">
      <c r="T3609" s="17"/>
      <c r="U3609" s="1"/>
    </row>
    <row r="3610" spans="20:21" x14ac:dyDescent="0.45">
      <c r="T3610" s="17"/>
      <c r="U3610" s="1"/>
    </row>
    <row r="3611" spans="20:21" x14ac:dyDescent="0.45">
      <c r="T3611" s="17"/>
      <c r="U3611" s="1"/>
    </row>
    <row r="3612" spans="20:21" x14ac:dyDescent="0.45">
      <c r="T3612" s="17"/>
      <c r="U3612" s="1"/>
    </row>
    <row r="3613" spans="20:21" x14ac:dyDescent="0.45">
      <c r="T3613" s="17"/>
      <c r="U3613" s="1"/>
    </row>
    <row r="3614" spans="20:21" x14ac:dyDescent="0.45">
      <c r="T3614" s="17"/>
      <c r="U3614" s="1"/>
    </row>
    <row r="3615" spans="20:21" x14ac:dyDescent="0.45">
      <c r="T3615" s="17"/>
      <c r="U3615" s="1"/>
    </row>
    <row r="3616" spans="20:21" x14ac:dyDescent="0.45">
      <c r="T3616" s="17"/>
      <c r="U3616" s="1"/>
    </row>
    <row r="3617" spans="20:21" x14ac:dyDescent="0.45">
      <c r="T3617" s="17"/>
      <c r="U3617" s="1"/>
    </row>
    <row r="3618" spans="20:21" x14ac:dyDescent="0.45">
      <c r="T3618" s="17"/>
      <c r="U3618" s="1"/>
    </row>
    <row r="3619" spans="20:21" x14ac:dyDescent="0.45">
      <c r="T3619" s="17"/>
      <c r="U3619" s="1"/>
    </row>
    <row r="3620" spans="20:21" x14ac:dyDescent="0.45">
      <c r="T3620" s="17"/>
      <c r="U3620" s="1"/>
    </row>
    <row r="3621" spans="20:21" x14ac:dyDescent="0.45">
      <c r="T3621" s="17"/>
      <c r="U3621" s="1"/>
    </row>
    <row r="3622" spans="20:21" x14ac:dyDescent="0.45">
      <c r="T3622" s="17"/>
      <c r="U3622" s="1"/>
    </row>
    <row r="3623" spans="20:21" x14ac:dyDescent="0.45">
      <c r="T3623" s="17"/>
      <c r="U3623" s="1"/>
    </row>
    <row r="3624" spans="20:21" x14ac:dyDescent="0.45">
      <c r="T3624" s="17"/>
      <c r="U3624" s="1"/>
    </row>
    <row r="3625" spans="20:21" x14ac:dyDescent="0.45">
      <c r="T3625" s="17"/>
      <c r="U3625" s="1"/>
    </row>
    <row r="3626" spans="20:21" x14ac:dyDescent="0.45">
      <c r="T3626" s="17"/>
      <c r="U3626" s="1"/>
    </row>
    <row r="3627" spans="20:21" x14ac:dyDescent="0.45">
      <c r="T3627" s="17"/>
      <c r="U3627" s="1"/>
    </row>
    <row r="3628" spans="20:21" x14ac:dyDescent="0.45">
      <c r="T3628" s="17"/>
      <c r="U3628" s="1"/>
    </row>
    <row r="3629" spans="20:21" x14ac:dyDescent="0.45">
      <c r="T3629" s="17"/>
      <c r="U3629" s="1"/>
    </row>
    <row r="3630" spans="20:21" x14ac:dyDescent="0.45">
      <c r="T3630" s="17"/>
      <c r="U3630" s="1"/>
    </row>
    <row r="3631" spans="20:21" x14ac:dyDescent="0.45">
      <c r="T3631" s="17"/>
      <c r="U3631" s="1"/>
    </row>
    <row r="3632" spans="20:21" x14ac:dyDescent="0.45">
      <c r="T3632" s="17"/>
      <c r="U3632" s="1"/>
    </row>
    <row r="3633" spans="20:21" x14ac:dyDescent="0.45">
      <c r="T3633" s="17"/>
      <c r="U3633" s="1"/>
    </row>
    <row r="3634" spans="20:21" x14ac:dyDescent="0.45">
      <c r="T3634" s="17"/>
      <c r="U3634" s="1"/>
    </row>
    <row r="3635" spans="20:21" x14ac:dyDescent="0.45">
      <c r="T3635" s="17"/>
      <c r="U3635" s="1"/>
    </row>
    <row r="3636" spans="20:21" x14ac:dyDescent="0.45">
      <c r="T3636" s="17"/>
      <c r="U3636" s="1"/>
    </row>
    <row r="3637" spans="20:21" x14ac:dyDescent="0.45">
      <c r="T3637" s="17"/>
      <c r="U3637" s="1"/>
    </row>
    <row r="3638" spans="20:21" x14ac:dyDescent="0.45">
      <c r="T3638" s="17"/>
      <c r="U3638" s="1"/>
    </row>
    <row r="3639" spans="20:21" x14ac:dyDescent="0.45">
      <c r="T3639" s="17"/>
      <c r="U3639" s="1"/>
    </row>
    <row r="3640" spans="20:21" x14ac:dyDescent="0.45">
      <c r="T3640" s="17"/>
      <c r="U3640" s="1"/>
    </row>
    <row r="3641" spans="20:21" x14ac:dyDescent="0.45">
      <c r="T3641" s="17"/>
      <c r="U3641" s="1"/>
    </row>
    <row r="3642" spans="20:21" x14ac:dyDescent="0.45">
      <c r="T3642" s="17"/>
      <c r="U3642" s="1"/>
    </row>
    <row r="3643" spans="20:21" x14ac:dyDescent="0.45">
      <c r="T3643" s="17"/>
      <c r="U3643" s="1"/>
    </row>
    <row r="3644" spans="20:21" x14ac:dyDescent="0.45">
      <c r="T3644" s="17"/>
      <c r="U3644" s="1"/>
    </row>
    <row r="3645" spans="20:21" x14ac:dyDescent="0.45">
      <c r="T3645" s="17"/>
      <c r="U3645" s="1"/>
    </row>
    <row r="3646" spans="20:21" x14ac:dyDescent="0.45">
      <c r="T3646" s="17"/>
      <c r="U3646" s="1"/>
    </row>
    <row r="3647" spans="20:21" x14ac:dyDescent="0.45">
      <c r="T3647" s="17"/>
      <c r="U3647" s="1"/>
    </row>
    <row r="3648" spans="20:21" x14ac:dyDescent="0.45">
      <c r="T3648" s="17"/>
      <c r="U3648" s="1"/>
    </row>
    <row r="3649" spans="20:21" x14ac:dyDescent="0.45">
      <c r="T3649" s="17"/>
      <c r="U3649" s="1"/>
    </row>
    <row r="3650" spans="20:21" x14ac:dyDescent="0.45">
      <c r="T3650" s="17"/>
      <c r="U3650" s="1"/>
    </row>
    <row r="3651" spans="20:21" x14ac:dyDescent="0.45">
      <c r="T3651" s="17"/>
      <c r="U3651" s="1"/>
    </row>
    <row r="3652" spans="20:21" x14ac:dyDescent="0.45">
      <c r="T3652" s="17"/>
      <c r="U3652" s="1"/>
    </row>
    <row r="3653" spans="20:21" x14ac:dyDescent="0.45">
      <c r="T3653" s="17"/>
      <c r="U3653" s="1"/>
    </row>
    <row r="3654" spans="20:21" x14ac:dyDescent="0.45">
      <c r="T3654" s="17"/>
      <c r="U3654" s="1"/>
    </row>
    <row r="3655" spans="20:21" x14ac:dyDescent="0.45">
      <c r="T3655" s="17"/>
      <c r="U3655" s="1"/>
    </row>
    <row r="3656" spans="20:21" x14ac:dyDescent="0.45">
      <c r="T3656" s="17"/>
      <c r="U3656" s="1"/>
    </row>
    <row r="3657" spans="20:21" x14ac:dyDescent="0.45">
      <c r="T3657" s="17"/>
      <c r="U3657" s="1"/>
    </row>
    <row r="3658" spans="20:21" x14ac:dyDescent="0.45">
      <c r="T3658" s="17"/>
      <c r="U3658" s="1"/>
    </row>
    <row r="3659" spans="20:21" x14ac:dyDescent="0.45">
      <c r="T3659" s="17"/>
      <c r="U3659" s="1"/>
    </row>
    <row r="3660" spans="20:21" x14ac:dyDescent="0.45">
      <c r="T3660" s="17"/>
      <c r="U3660" s="1"/>
    </row>
    <row r="3661" spans="20:21" x14ac:dyDescent="0.45">
      <c r="T3661" s="17"/>
      <c r="U3661" s="1"/>
    </row>
    <row r="3662" spans="20:21" x14ac:dyDescent="0.45">
      <c r="T3662" s="17"/>
      <c r="U3662" s="1"/>
    </row>
    <row r="3663" spans="20:21" x14ac:dyDescent="0.45">
      <c r="T3663" s="17"/>
      <c r="U3663" s="1"/>
    </row>
    <row r="3664" spans="20:21" x14ac:dyDescent="0.45">
      <c r="T3664" s="17"/>
      <c r="U3664" s="1"/>
    </row>
    <row r="3665" spans="20:21" x14ac:dyDescent="0.45">
      <c r="T3665" s="17"/>
      <c r="U3665" s="1"/>
    </row>
    <row r="3666" spans="20:21" x14ac:dyDescent="0.45">
      <c r="T3666" s="17"/>
      <c r="U3666" s="1"/>
    </row>
    <row r="3667" spans="20:21" x14ac:dyDescent="0.45">
      <c r="T3667" s="17"/>
      <c r="U3667" s="1"/>
    </row>
    <row r="3668" spans="20:21" x14ac:dyDescent="0.45">
      <c r="T3668" s="17"/>
      <c r="U3668" s="1"/>
    </row>
    <row r="3669" spans="20:21" x14ac:dyDescent="0.45">
      <c r="T3669" s="17"/>
      <c r="U3669" s="1"/>
    </row>
    <row r="3670" spans="20:21" x14ac:dyDescent="0.45">
      <c r="T3670" s="17"/>
      <c r="U3670" s="1"/>
    </row>
    <row r="3671" spans="20:21" x14ac:dyDescent="0.45">
      <c r="T3671" s="17"/>
      <c r="U3671" s="1"/>
    </row>
    <row r="3672" spans="20:21" x14ac:dyDescent="0.45">
      <c r="T3672" s="17"/>
      <c r="U3672" s="1"/>
    </row>
    <row r="3673" spans="20:21" x14ac:dyDescent="0.45">
      <c r="T3673" s="17"/>
      <c r="U3673" s="1"/>
    </row>
    <row r="3674" spans="20:21" x14ac:dyDescent="0.45">
      <c r="T3674" s="17"/>
      <c r="U3674" s="1"/>
    </row>
    <row r="3675" spans="20:21" x14ac:dyDescent="0.45">
      <c r="T3675" s="17"/>
      <c r="U3675" s="1"/>
    </row>
    <row r="3676" spans="20:21" x14ac:dyDescent="0.45">
      <c r="T3676" s="17"/>
      <c r="U3676" s="1"/>
    </row>
    <row r="3677" spans="20:21" x14ac:dyDescent="0.45">
      <c r="T3677" s="17"/>
      <c r="U3677" s="1"/>
    </row>
    <row r="3678" spans="20:21" x14ac:dyDescent="0.45">
      <c r="T3678" s="17"/>
      <c r="U3678" s="1"/>
    </row>
    <row r="3679" spans="20:21" x14ac:dyDescent="0.45">
      <c r="T3679" s="17"/>
      <c r="U3679" s="1"/>
    </row>
    <row r="3680" spans="20:21" x14ac:dyDescent="0.45">
      <c r="T3680" s="17"/>
      <c r="U3680" s="1"/>
    </row>
    <row r="3681" spans="20:21" x14ac:dyDescent="0.45">
      <c r="T3681" s="17"/>
      <c r="U3681" s="1"/>
    </row>
    <row r="3682" spans="20:21" x14ac:dyDescent="0.45">
      <c r="T3682" s="17"/>
      <c r="U3682" s="1"/>
    </row>
    <row r="3683" spans="20:21" x14ac:dyDescent="0.45">
      <c r="T3683" s="17"/>
      <c r="U3683" s="1"/>
    </row>
    <row r="3684" spans="20:21" x14ac:dyDescent="0.45">
      <c r="T3684" s="17"/>
      <c r="U3684" s="1"/>
    </row>
    <row r="3685" spans="20:21" x14ac:dyDescent="0.45">
      <c r="T3685" s="17"/>
      <c r="U3685" s="1"/>
    </row>
    <row r="3686" spans="20:21" x14ac:dyDescent="0.45">
      <c r="T3686" s="17"/>
      <c r="U3686" s="1"/>
    </row>
    <row r="3687" spans="20:21" x14ac:dyDescent="0.45">
      <c r="T3687" s="17"/>
      <c r="U3687" s="1"/>
    </row>
    <row r="3688" spans="20:21" x14ac:dyDescent="0.45">
      <c r="T3688" s="17"/>
      <c r="U3688" s="1"/>
    </row>
    <row r="3689" spans="20:21" x14ac:dyDescent="0.45">
      <c r="T3689" s="17"/>
      <c r="U3689" s="1"/>
    </row>
    <row r="3690" spans="20:21" x14ac:dyDescent="0.45">
      <c r="T3690" s="17"/>
      <c r="U3690" s="1"/>
    </row>
    <row r="3691" spans="20:21" x14ac:dyDescent="0.45">
      <c r="T3691" s="17"/>
      <c r="U3691" s="1"/>
    </row>
    <row r="3692" spans="20:21" x14ac:dyDescent="0.45">
      <c r="T3692" s="17"/>
      <c r="U3692" s="1"/>
    </row>
    <row r="3693" spans="20:21" x14ac:dyDescent="0.45">
      <c r="T3693" s="17"/>
      <c r="U3693" s="1"/>
    </row>
    <row r="3694" spans="20:21" x14ac:dyDescent="0.45">
      <c r="T3694" s="17"/>
      <c r="U3694" s="1"/>
    </row>
    <row r="3695" spans="20:21" x14ac:dyDescent="0.45">
      <c r="T3695" s="17"/>
      <c r="U3695" s="1"/>
    </row>
    <row r="3696" spans="20:21" x14ac:dyDescent="0.45">
      <c r="T3696" s="17"/>
      <c r="U3696" s="1"/>
    </row>
    <row r="3697" spans="20:21" x14ac:dyDescent="0.45">
      <c r="T3697" s="17"/>
      <c r="U3697" s="1"/>
    </row>
    <row r="3698" spans="20:21" x14ac:dyDescent="0.45">
      <c r="T3698" s="17"/>
      <c r="U3698" s="1"/>
    </row>
    <row r="3699" spans="20:21" x14ac:dyDescent="0.45">
      <c r="T3699" s="17"/>
      <c r="U3699" s="1"/>
    </row>
    <row r="3700" spans="20:21" x14ac:dyDescent="0.45">
      <c r="T3700" s="17"/>
      <c r="U3700" s="1"/>
    </row>
    <row r="3701" spans="20:21" x14ac:dyDescent="0.45">
      <c r="T3701" s="17"/>
      <c r="U3701" s="1"/>
    </row>
    <row r="3702" spans="20:21" x14ac:dyDescent="0.45">
      <c r="T3702" s="17"/>
      <c r="U3702" s="1"/>
    </row>
    <row r="3703" spans="20:21" x14ac:dyDescent="0.45">
      <c r="T3703" s="17"/>
      <c r="U3703" s="1"/>
    </row>
    <row r="3704" spans="20:21" x14ac:dyDescent="0.45">
      <c r="T3704" s="17"/>
      <c r="U3704" s="1"/>
    </row>
    <row r="3705" spans="20:21" x14ac:dyDescent="0.45">
      <c r="T3705" s="17"/>
      <c r="U3705" s="1"/>
    </row>
    <row r="3706" spans="20:21" x14ac:dyDescent="0.45">
      <c r="T3706" s="17"/>
      <c r="U3706" s="1"/>
    </row>
    <row r="3707" spans="20:21" x14ac:dyDescent="0.45">
      <c r="T3707" s="17"/>
      <c r="U3707" s="1"/>
    </row>
    <row r="3708" spans="20:21" x14ac:dyDescent="0.45">
      <c r="T3708" s="17"/>
      <c r="U3708" s="1"/>
    </row>
    <row r="3709" spans="20:21" x14ac:dyDescent="0.45">
      <c r="T3709" s="17"/>
      <c r="U3709" s="1"/>
    </row>
    <row r="3710" spans="20:21" x14ac:dyDescent="0.45">
      <c r="T3710" s="17"/>
      <c r="U3710" s="1"/>
    </row>
    <row r="3711" spans="20:21" x14ac:dyDescent="0.45">
      <c r="T3711" s="17"/>
      <c r="U3711" s="1"/>
    </row>
    <row r="3712" spans="20:21" x14ac:dyDescent="0.45">
      <c r="T3712" s="17"/>
      <c r="U3712" s="1"/>
    </row>
    <row r="3713" spans="20:21" x14ac:dyDescent="0.45">
      <c r="T3713" s="17"/>
      <c r="U3713" s="1"/>
    </row>
    <row r="3714" spans="20:21" x14ac:dyDescent="0.45">
      <c r="T3714" s="17"/>
      <c r="U3714" s="1"/>
    </row>
    <row r="3715" spans="20:21" x14ac:dyDescent="0.45">
      <c r="T3715" s="17"/>
      <c r="U3715" s="1"/>
    </row>
    <row r="3716" spans="20:21" x14ac:dyDescent="0.45">
      <c r="T3716" s="17"/>
      <c r="U3716" s="1"/>
    </row>
    <row r="3717" spans="20:21" x14ac:dyDescent="0.45">
      <c r="T3717" s="17"/>
      <c r="U3717" s="1"/>
    </row>
    <row r="3718" spans="20:21" x14ac:dyDescent="0.45">
      <c r="T3718" s="17"/>
      <c r="U3718" s="1"/>
    </row>
    <row r="3719" spans="20:21" x14ac:dyDescent="0.45">
      <c r="T3719" s="17"/>
      <c r="U3719" s="1"/>
    </row>
    <row r="3720" spans="20:21" x14ac:dyDescent="0.45">
      <c r="T3720" s="17"/>
      <c r="U3720" s="1"/>
    </row>
    <row r="3721" spans="20:21" x14ac:dyDescent="0.45">
      <c r="T3721" s="17"/>
      <c r="U3721" s="1"/>
    </row>
    <row r="3722" spans="20:21" x14ac:dyDescent="0.45">
      <c r="T3722" s="17"/>
      <c r="U3722" s="1"/>
    </row>
    <row r="3723" spans="20:21" x14ac:dyDescent="0.45">
      <c r="T3723" s="17"/>
      <c r="U3723" s="1"/>
    </row>
    <row r="3724" spans="20:21" x14ac:dyDescent="0.45">
      <c r="T3724" s="17"/>
      <c r="U3724" s="1"/>
    </row>
    <row r="3725" spans="20:21" x14ac:dyDescent="0.45">
      <c r="T3725" s="17"/>
      <c r="U3725" s="1"/>
    </row>
    <row r="3726" spans="20:21" x14ac:dyDescent="0.45">
      <c r="T3726" s="17"/>
      <c r="U3726" s="1"/>
    </row>
    <row r="3727" spans="20:21" x14ac:dyDescent="0.45">
      <c r="T3727" s="17"/>
      <c r="U3727" s="1"/>
    </row>
    <row r="3728" spans="20:21" x14ac:dyDescent="0.45">
      <c r="T3728" s="17"/>
      <c r="U3728" s="1"/>
    </row>
    <row r="3729" spans="20:21" x14ac:dyDescent="0.45">
      <c r="T3729" s="17"/>
      <c r="U3729" s="1"/>
    </row>
    <row r="3730" spans="20:21" x14ac:dyDescent="0.45">
      <c r="T3730" s="17"/>
      <c r="U3730" s="1"/>
    </row>
    <row r="3731" spans="20:21" x14ac:dyDescent="0.45">
      <c r="T3731" s="17"/>
      <c r="U3731" s="1"/>
    </row>
    <row r="3732" spans="20:21" x14ac:dyDescent="0.45">
      <c r="T3732" s="17"/>
      <c r="U3732" s="1"/>
    </row>
    <row r="3733" spans="20:21" x14ac:dyDescent="0.45">
      <c r="T3733" s="17"/>
      <c r="U3733" s="1"/>
    </row>
    <row r="3734" spans="20:21" x14ac:dyDescent="0.45">
      <c r="T3734" s="17"/>
      <c r="U3734" s="1"/>
    </row>
    <row r="3735" spans="20:21" x14ac:dyDescent="0.45">
      <c r="T3735" s="17"/>
      <c r="U3735" s="1"/>
    </row>
    <row r="3736" spans="20:21" x14ac:dyDescent="0.45">
      <c r="T3736" s="17"/>
      <c r="U3736" s="1"/>
    </row>
    <row r="3737" spans="20:21" x14ac:dyDescent="0.45">
      <c r="T3737" s="17"/>
      <c r="U3737" s="1"/>
    </row>
    <row r="3738" spans="20:21" x14ac:dyDescent="0.45">
      <c r="T3738" s="17"/>
      <c r="U3738" s="1"/>
    </row>
    <row r="3739" spans="20:21" x14ac:dyDescent="0.45">
      <c r="T3739" s="17"/>
      <c r="U3739" s="1"/>
    </row>
    <row r="3740" spans="20:21" x14ac:dyDescent="0.45">
      <c r="T3740" s="17"/>
      <c r="U3740" s="1"/>
    </row>
    <row r="3741" spans="20:21" x14ac:dyDescent="0.45">
      <c r="T3741" s="17"/>
      <c r="U3741" s="1"/>
    </row>
    <row r="3742" spans="20:21" x14ac:dyDescent="0.45">
      <c r="T3742" s="17"/>
      <c r="U3742" s="1"/>
    </row>
    <row r="3743" spans="20:21" x14ac:dyDescent="0.45">
      <c r="T3743" s="17"/>
      <c r="U3743" s="1"/>
    </row>
    <row r="3744" spans="20:21" x14ac:dyDescent="0.45">
      <c r="T3744" s="17"/>
      <c r="U3744" s="1"/>
    </row>
    <row r="3745" spans="20:21" x14ac:dyDescent="0.45">
      <c r="T3745" s="17"/>
      <c r="U3745" s="1"/>
    </row>
    <row r="3746" spans="20:21" x14ac:dyDescent="0.45">
      <c r="T3746" s="17"/>
      <c r="U3746" s="1"/>
    </row>
    <row r="3747" spans="20:21" x14ac:dyDescent="0.45">
      <c r="T3747" s="17"/>
      <c r="U3747" s="1"/>
    </row>
    <row r="3748" spans="20:21" x14ac:dyDescent="0.45">
      <c r="T3748" s="17"/>
      <c r="U3748" s="1"/>
    </row>
    <row r="3749" spans="20:21" x14ac:dyDescent="0.45">
      <c r="T3749" s="17"/>
      <c r="U3749" s="1"/>
    </row>
    <row r="3750" spans="20:21" x14ac:dyDescent="0.45">
      <c r="T3750" s="17"/>
      <c r="U3750" s="1"/>
    </row>
    <row r="3751" spans="20:21" x14ac:dyDescent="0.45">
      <c r="T3751" s="17"/>
      <c r="U3751" s="1"/>
    </row>
    <row r="3752" spans="20:21" x14ac:dyDescent="0.45">
      <c r="T3752" s="17"/>
      <c r="U3752" s="1"/>
    </row>
    <row r="3753" spans="20:21" x14ac:dyDescent="0.45">
      <c r="T3753" s="17"/>
      <c r="U3753" s="1"/>
    </row>
    <row r="3754" spans="20:21" x14ac:dyDescent="0.45">
      <c r="T3754" s="17"/>
      <c r="U3754" s="1"/>
    </row>
    <row r="3755" spans="20:21" x14ac:dyDescent="0.45">
      <c r="T3755" s="17"/>
      <c r="U3755" s="1"/>
    </row>
    <row r="3756" spans="20:21" x14ac:dyDescent="0.45">
      <c r="T3756" s="17"/>
      <c r="U3756" s="1"/>
    </row>
    <row r="3757" spans="20:21" x14ac:dyDescent="0.45">
      <c r="T3757" s="17"/>
      <c r="U3757" s="1"/>
    </row>
    <row r="3758" spans="20:21" x14ac:dyDescent="0.45">
      <c r="T3758" s="17"/>
      <c r="U3758" s="1"/>
    </row>
    <row r="3759" spans="20:21" x14ac:dyDescent="0.45">
      <c r="T3759" s="17"/>
      <c r="U3759" s="1"/>
    </row>
    <row r="3760" spans="20:21" x14ac:dyDescent="0.45">
      <c r="T3760" s="17"/>
      <c r="U3760" s="1"/>
    </row>
    <row r="3761" spans="20:21" x14ac:dyDescent="0.45">
      <c r="T3761" s="17"/>
      <c r="U3761" s="1"/>
    </row>
    <row r="3762" spans="20:21" x14ac:dyDescent="0.45">
      <c r="T3762" s="17"/>
      <c r="U3762" s="1"/>
    </row>
    <row r="3763" spans="20:21" x14ac:dyDescent="0.45">
      <c r="T3763" s="17"/>
      <c r="U3763" s="1"/>
    </row>
    <row r="3764" spans="20:21" x14ac:dyDescent="0.45">
      <c r="T3764" s="17"/>
      <c r="U3764" s="1"/>
    </row>
    <row r="3765" spans="20:21" x14ac:dyDescent="0.45">
      <c r="T3765" s="17"/>
      <c r="U3765" s="1"/>
    </row>
    <row r="3766" spans="20:21" x14ac:dyDescent="0.45">
      <c r="T3766" s="17"/>
      <c r="U3766" s="1"/>
    </row>
    <row r="3767" spans="20:21" x14ac:dyDescent="0.45">
      <c r="T3767" s="17"/>
      <c r="U3767" s="1"/>
    </row>
    <row r="3768" spans="20:21" x14ac:dyDescent="0.45">
      <c r="T3768" s="17"/>
      <c r="U3768" s="1"/>
    </row>
    <row r="3769" spans="20:21" x14ac:dyDescent="0.45">
      <c r="T3769" s="17"/>
      <c r="U3769" s="1"/>
    </row>
    <row r="3770" spans="20:21" x14ac:dyDescent="0.45">
      <c r="T3770" s="17"/>
      <c r="U3770" s="1"/>
    </row>
    <row r="3771" spans="20:21" x14ac:dyDescent="0.45">
      <c r="T3771" s="17"/>
      <c r="U3771" s="1"/>
    </row>
    <row r="3772" spans="20:21" x14ac:dyDescent="0.45">
      <c r="T3772" s="17"/>
      <c r="U3772" s="1"/>
    </row>
    <row r="3773" spans="20:21" x14ac:dyDescent="0.45">
      <c r="T3773" s="17"/>
      <c r="U3773" s="1"/>
    </row>
    <row r="3774" spans="20:21" x14ac:dyDescent="0.45">
      <c r="T3774" s="17"/>
      <c r="U3774" s="1"/>
    </row>
    <row r="3775" spans="20:21" x14ac:dyDescent="0.45">
      <c r="T3775" s="17"/>
      <c r="U3775" s="1"/>
    </row>
    <row r="3776" spans="20:21" x14ac:dyDescent="0.45">
      <c r="T3776" s="17"/>
      <c r="U3776" s="1"/>
    </row>
    <row r="3777" spans="20:21" x14ac:dyDescent="0.45">
      <c r="T3777" s="17"/>
      <c r="U3777" s="1"/>
    </row>
    <row r="3778" spans="20:21" x14ac:dyDescent="0.45">
      <c r="T3778" s="17"/>
      <c r="U3778" s="1"/>
    </row>
    <row r="3779" spans="20:21" x14ac:dyDescent="0.45">
      <c r="T3779" s="17"/>
      <c r="U3779" s="1"/>
    </row>
    <row r="3780" spans="20:21" x14ac:dyDescent="0.45">
      <c r="T3780" s="17"/>
      <c r="U3780" s="1"/>
    </row>
    <row r="3781" spans="20:21" x14ac:dyDescent="0.45">
      <c r="T3781" s="17"/>
      <c r="U3781" s="1"/>
    </row>
    <row r="3782" spans="20:21" x14ac:dyDescent="0.45">
      <c r="T3782" s="17"/>
      <c r="U3782" s="1"/>
    </row>
    <row r="3783" spans="20:21" x14ac:dyDescent="0.45">
      <c r="T3783" s="17"/>
      <c r="U3783" s="1"/>
    </row>
    <row r="3784" spans="20:21" x14ac:dyDescent="0.45">
      <c r="T3784" s="17"/>
      <c r="U3784" s="1"/>
    </row>
    <row r="3785" spans="20:21" x14ac:dyDescent="0.45">
      <c r="T3785" s="17"/>
      <c r="U3785" s="1"/>
    </row>
    <row r="3786" spans="20:21" x14ac:dyDescent="0.45">
      <c r="T3786" s="17"/>
      <c r="U3786" s="1"/>
    </row>
    <row r="3787" spans="20:21" x14ac:dyDescent="0.45">
      <c r="T3787" s="17"/>
      <c r="U3787" s="1"/>
    </row>
    <row r="3788" spans="20:21" x14ac:dyDescent="0.45">
      <c r="T3788" s="17"/>
      <c r="U3788" s="1"/>
    </row>
    <row r="3789" spans="20:21" x14ac:dyDescent="0.45">
      <c r="T3789" s="17"/>
      <c r="U3789" s="1"/>
    </row>
    <row r="3790" spans="20:21" x14ac:dyDescent="0.45">
      <c r="T3790" s="17"/>
      <c r="U3790" s="1"/>
    </row>
    <row r="3791" spans="20:21" x14ac:dyDescent="0.45">
      <c r="T3791" s="17"/>
      <c r="U3791" s="1"/>
    </row>
    <row r="3792" spans="20:21" x14ac:dyDescent="0.45">
      <c r="T3792" s="17"/>
      <c r="U3792" s="1"/>
    </row>
    <row r="3793" spans="20:21" x14ac:dyDescent="0.45">
      <c r="T3793" s="17"/>
      <c r="U3793" s="1"/>
    </row>
    <row r="3794" spans="20:21" x14ac:dyDescent="0.45">
      <c r="T3794" s="17"/>
      <c r="U3794" s="1"/>
    </row>
    <row r="3795" spans="20:21" x14ac:dyDescent="0.45">
      <c r="T3795" s="17"/>
      <c r="U3795" s="1"/>
    </row>
    <row r="3796" spans="20:21" x14ac:dyDescent="0.45">
      <c r="T3796" s="17"/>
      <c r="U3796" s="1"/>
    </row>
    <row r="3797" spans="20:21" x14ac:dyDescent="0.45">
      <c r="T3797" s="17"/>
      <c r="U3797" s="1"/>
    </row>
    <row r="3798" spans="20:21" x14ac:dyDescent="0.45">
      <c r="T3798" s="17"/>
      <c r="U3798" s="1"/>
    </row>
    <row r="3799" spans="20:21" x14ac:dyDescent="0.45">
      <c r="T3799" s="17"/>
      <c r="U3799" s="1"/>
    </row>
    <row r="3800" spans="20:21" x14ac:dyDescent="0.45">
      <c r="T3800" s="17"/>
      <c r="U3800" s="1"/>
    </row>
    <row r="3801" spans="20:21" x14ac:dyDescent="0.45">
      <c r="T3801" s="17"/>
      <c r="U3801" s="1"/>
    </row>
    <row r="3802" spans="20:21" x14ac:dyDescent="0.45">
      <c r="T3802" s="17"/>
      <c r="U3802" s="1"/>
    </row>
    <row r="3803" spans="20:21" x14ac:dyDescent="0.45">
      <c r="T3803" s="17"/>
      <c r="U3803" s="1"/>
    </row>
    <row r="3804" spans="20:21" x14ac:dyDescent="0.45">
      <c r="T3804" s="17"/>
      <c r="U3804" s="1"/>
    </row>
    <row r="3805" spans="20:21" x14ac:dyDescent="0.45">
      <c r="T3805" s="17"/>
      <c r="U3805" s="1"/>
    </row>
    <row r="3806" spans="20:21" x14ac:dyDescent="0.45">
      <c r="T3806" s="17"/>
      <c r="U3806" s="1"/>
    </row>
    <row r="3807" spans="20:21" x14ac:dyDescent="0.45">
      <c r="T3807" s="17"/>
      <c r="U3807" s="1"/>
    </row>
    <row r="3808" spans="20:21" x14ac:dyDescent="0.45">
      <c r="T3808" s="17"/>
      <c r="U3808" s="1"/>
    </row>
    <row r="3809" spans="20:21" x14ac:dyDescent="0.45">
      <c r="T3809" s="17"/>
      <c r="U3809" s="1"/>
    </row>
    <row r="3810" spans="20:21" x14ac:dyDescent="0.45">
      <c r="T3810" s="17"/>
      <c r="U3810" s="1"/>
    </row>
    <row r="3811" spans="20:21" x14ac:dyDescent="0.45">
      <c r="T3811" s="17"/>
      <c r="U3811" s="1"/>
    </row>
    <row r="3812" spans="20:21" x14ac:dyDescent="0.45">
      <c r="T3812" s="17"/>
      <c r="U3812" s="1"/>
    </row>
    <row r="3813" spans="20:21" x14ac:dyDescent="0.45">
      <c r="T3813" s="17"/>
      <c r="U3813" s="1"/>
    </row>
    <row r="3814" spans="20:21" x14ac:dyDescent="0.45">
      <c r="T3814" s="17"/>
      <c r="U3814" s="1"/>
    </row>
    <row r="3815" spans="20:21" x14ac:dyDescent="0.45">
      <c r="T3815" s="17"/>
      <c r="U3815" s="1"/>
    </row>
    <row r="3816" spans="20:21" x14ac:dyDescent="0.45">
      <c r="T3816" s="17"/>
      <c r="U3816" s="1"/>
    </row>
    <row r="3817" spans="20:21" x14ac:dyDescent="0.45">
      <c r="T3817" s="17"/>
      <c r="U3817" s="1"/>
    </row>
    <row r="3818" spans="20:21" x14ac:dyDescent="0.45">
      <c r="T3818" s="17"/>
      <c r="U3818" s="1"/>
    </row>
    <row r="3819" spans="20:21" x14ac:dyDescent="0.45">
      <c r="T3819" s="17"/>
      <c r="U3819" s="1"/>
    </row>
    <row r="3820" spans="20:21" x14ac:dyDescent="0.45">
      <c r="T3820" s="17"/>
      <c r="U3820" s="1"/>
    </row>
    <row r="3821" spans="20:21" x14ac:dyDescent="0.45">
      <c r="T3821" s="17"/>
      <c r="U3821" s="1"/>
    </row>
    <row r="3822" spans="20:21" x14ac:dyDescent="0.45">
      <c r="T3822" s="17"/>
      <c r="U3822" s="1"/>
    </row>
    <row r="3823" spans="20:21" x14ac:dyDescent="0.45">
      <c r="T3823" s="17"/>
      <c r="U3823" s="1"/>
    </row>
    <row r="3824" spans="20:21" x14ac:dyDescent="0.45">
      <c r="T3824" s="17"/>
      <c r="U3824" s="1"/>
    </row>
    <row r="3825" spans="20:21" x14ac:dyDescent="0.45">
      <c r="T3825" s="17"/>
      <c r="U3825" s="1"/>
    </row>
    <row r="3826" spans="20:21" x14ac:dyDescent="0.45">
      <c r="T3826" s="17"/>
      <c r="U3826" s="1"/>
    </row>
    <row r="3827" spans="20:21" x14ac:dyDescent="0.45">
      <c r="T3827" s="17"/>
      <c r="U3827" s="1"/>
    </row>
    <row r="3828" spans="20:21" x14ac:dyDescent="0.45">
      <c r="T3828" s="17"/>
      <c r="U3828" s="1"/>
    </row>
    <row r="3829" spans="20:21" x14ac:dyDescent="0.45">
      <c r="T3829" s="17"/>
      <c r="U3829" s="1"/>
    </row>
    <row r="3830" spans="20:21" x14ac:dyDescent="0.45">
      <c r="T3830" s="17"/>
      <c r="U3830" s="1"/>
    </row>
    <row r="3831" spans="20:21" x14ac:dyDescent="0.45">
      <c r="T3831" s="17"/>
      <c r="U3831" s="1"/>
    </row>
    <row r="3832" spans="20:21" x14ac:dyDescent="0.45">
      <c r="T3832" s="17"/>
      <c r="U3832" s="1"/>
    </row>
    <row r="3833" spans="20:21" x14ac:dyDescent="0.45">
      <c r="T3833" s="17"/>
      <c r="U3833" s="1"/>
    </row>
    <row r="3834" spans="20:21" x14ac:dyDescent="0.45">
      <c r="T3834" s="17"/>
      <c r="U3834" s="1"/>
    </row>
    <row r="3835" spans="20:21" x14ac:dyDescent="0.45">
      <c r="T3835" s="17"/>
      <c r="U3835" s="1"/>
    </row>
    <row r="3836" spans="20:21" x14ac:dyDescent="0.45">
      <c r="T3836" s="17"/>
      <c r="U3836" s="1"/>
    </row>
    <row r="3837" spans="20:21" x14ac:dyDescent="0.45">
      <c r="T3837" s="17"/>
      <c r="U3837" s="1"/>
    </row>
    <row r="3838" spans="20:21" x14ac:dyDescent="0.45">
      <c r="T3838" s="17"/>
      <c r="U3838" s="1"/>
    </row>
    <row r="3839" spans="20:21" x14ac:dyDescent="0.45">
      <c r="T3839" s="17"/>
      <c r="U3839" s="1"/>
    </row>
    <row r="3840" spans="20:21" x14ac:dyDescent="0.45">
      <c r="T3840" s="17"/>
      <c r="U3840" s="1"/>
    </row>
    <row r="3841" spans="20:21" x14ac:dyDescent="0.45">
      <c r="T3841" s="17"/>
      <c r="U3841" s="1"/>
    </row>
    <row r="3842" spans="20:21" x14ac:dyDescent="0.45">
      <c r="T3842" s="17"/>
      <c r="U3842" s="1"/>
    </row>
    <row r="3843" spans="20:21" x14ac:dyDescent="0.45">
      <c r="T3843" s="17"/>
      <c r="U3843" s="1"/>
    </row>
    <row r="3844" spans="20:21" x14ac:dyDescent="0.45">
      <c r="T3844" s="17"/>
      <c r="U3844" s="1"/>
    </row>
    <row r="3845" spans="20:21" x14ac:dyDescent="0.45">
      <c r="T3845" s="17"/>
      <c r="U3845" s="1"/>
    </row>
    <row r="3846" spans="20:21" x14ac:dyDescent="0.45">
      <c r="T3846" s="17"/>
      <c r="U3846" s="1"/>
    </row>
    <row r="3847" spans="20:21" x14ac:dyDescent="0.45">
      <c r="T3847" s="17"/>
      <c r="U3847" s="1"/>
    </row>
    <row r="3848" spans="20:21" x14ac:dyDescent="0.45">
      <c r="T3848" s="17"/>
      <c r="U3848" s="1"/>
    </row>
    <row r="3849" spans="20:21" x14ac:dyDescent="0.45">
      <c r="T3849" s="17"/>
      <c r="U3849" s="1"/>
    </row>
    <row r="3850" spans="20:21" x14ac:dyDescent="0.45">
      <c r="T3850" s="17"/>
      <c r="U3850" s="1"/>
    </row>
    <row r="3851" spans="20:21" x14ac:dyDescent="0.45">
      <c r="T3851" s="17"/>
      <c r="U3851" s="1"/>
    </row>
    <row r="3852" spans="20:21" x14ac:dyDescent="0.45">
      <c r="T3852" s="17"/>
      <c r="U3852" s="1"/>
    </row>
    <row r="3853" spans="20:21" x14ac:dyDescent="0.45">
      <c r="T3853" s="17"/>
      <c r="U3853" s="1"/>
    </row>
    <row r="3854" spans="20:21" x14ac:dyDescent="0.45">
      <c r="T3854" s="17"/>
      <c r="U3854" s="1"/>
    </row>
    <row r="3855" spans="20:21" x14ac:dyDescent="0.45">
      <c r="T3855" s="17"/>
      <c r="U3855" s="1"/>
    </row>
    <row r="3856" spans="20:21" x14ac:dyDescent="0.45">
      <c r="T3856" s="17"/>
      <c r="U3856" s="1"/>
    </row>
    <row r="3857" spans="20:21" x14ac:dyDescent="0.45">
      <c r="T3857" s="17"/>
      <c r="U3857" s="1"/>
    </row>
    <row r="3858" spans="20:21" x14ac:dyDescent="0.45">
      <c r="T3858" s="17"/>
      <c r="U3858" s="1"/>
    </row>
    <row r="3859" spans="20:21" x14ac:dyDescent="0.45">
      <c r="T3859" s="17"/>
      <c r="U3859" s="1"/>
    </row>
    <row r="3860" spans="20:21" x14ac:dyDescent="0.45">
      <c r="T3860" s="17"/>
      <c r="U3860" s="1"/>
    </row>
    <row r="3861" spans="20:21" x14ac:dyDescent="0.45">
      <c r="T3861" s="17"/>
      <c r="U3861" s="1"/>
    </row>
    <row r="3862" spans="20:21" x14ac:dyDescent="0.45">
      <c r="T3862" s="17"/>
      <c r="U3862" s="1"/>
    </row>
    <row r="3863" spans="20:21" x14ac:dyDescent="0.45">
      <c r="T3863" s="17"/>
      <c r="U3863" s="1"/>
    </row>
    <row r="3864" spans="20:21" x14ac:dyDescent="0.45">
      <c r="T3864" s="17"/>
      <c r="U3864" s="1"/>
    </row>
    <row r="3865" spans="20:21" x14ac:dyDescent="0.45">
      <c r="T3865" s="17"/>
      <c r="U3865" s="1"/>
    </row>
    <row r="3866" spans="20:21" x14ac:dyDescent="0.45">
      <c r="T3866" s="17"/>
      <c r="U3866" s="1"/>
    </row>
    <row r="3867" spans="20:21" x14ac:dyDescent="0.45">
      <c r="T3867" s="17"/>
      <c r="U3867" s="1"/>
    </row>
    <row r="3868" spans="20:21" x14ac:dyDescent="0.45">
      <c r="T3868" s="17"/>
      <c r="U3868" s="1"/>
    </row>
    <row r="3869" spans="20:21" x14ac:dyDescent="0.45">
      <c r="T3869" s="17"/>
      <c r="U3869" s="1"/>
    </row>
    <row r="3870" spans="20:21" x14ac:dyDescent="0.45">
      <c r="T3870" s="17"/>
      <c r="U3870" s="1"/>
    </row>
    <row r="3871" spans="20:21" x14ac:dyDescent="0.45">
      <c r="T3871" s="17"/>
      <c r="U3871" s="1"/>
    </row>
    <row r="3872" spans="20:21" x14ac:dyDescent="0.45">
      <c r="T3872" s="17"/>
      <c r="U3872" s="1"/>
    </row>
    <row r="3873" spans="20:21" x14ac:dyDescent="0.45">
      <c r="T3873" s="17"/>
      <c r="U3873" s="1"/>
    </row>
    <row r="3874" spans="20:21" x14ac:dyDescent="0.45">
      <c r="T3874" s="17"/>
      <c r="U3874" s="1"/>
    </row>
    <row r="3875" spans="20:21" x14ac:dyDescent="0.45">
      <c r="T3875" s="17"/>
      <c r="U3875" s="1"/>
    </row>
    <row r="3876" spans="20:21" x14ac:dyDescent="0.45">
      <c r="T3876" s="17"/>
      <c r="U3876" s="1"/>
    </row>
    <row r="3877" spans="20:21" x14ac:dyDescent="0.45">
      <c r="T3877" s="17"/>
      <c r="U3877" s="1"/>
    </row>
    <row r="3878" spans="20:21" x14ac:dyDescent="0.45">
      <c r="T3878" s="17"/>
      <c r="U3878" s="1"/>
    </row>
    <row r="3879" spans="20:21" x14ac:dyDescent="0.45">
      <c r="T3879" s="17"/>
      <c r="U3879" s="1"/>
    </row>
    <row r="3880" spans="20:21" x14ac:dyDescent="0.45">
      <c r="T3880" s="17"/>
      <c r="U3880" s="1"/>
    </row>
    <row r="3881" spans="20:21" x14ac:dyDescent="0.45">
      <c r="T3881" s="17"/>
      <c r="U3881" s="1"/>
    </row>
    <row r="3882" spans="20:21" x14ac:dyDescent="0.45">
      <c r="T3882" s="17"/>
      <c r="U3882" s="1"/>
    </row>
    <row r="3883" spans="20:21" x14ac:dyDescent="0.45">
      <c r="T3883" s="17"/>
      <c r="U3883" s="1"/>
    </row>
    <row r="3884" spans="20:21" x14ac:dyDescent="0.45">
      <c r="T3884" s="17"/>
      <c r="U3884" s="1"/>
    </row>
    <row r="3885" spans="20:21" x14ac:dyDescent="0.45">
      <c r="T3885" s="17"/>
      <c r="U3885" s="1"/>
    </row>
    <row r="3886" spans="20:21" x14ac:dyDescent="0.45">
      <c r="T3886" s="17"/>
      <c r="U3886" s="1"/>
    </row>
    <row r="3887" spans="20:21" x14ac:dyDescent="0.45">
      <c r="T3887" s="17"/>
      <c r="U3887" s="1"/>
    </row>
    <row r="3888" spans="20:21" x14ac:dyDescent="0.45">
      <c r="T3888" s="17"/>
      <c r="U3888" s="1"/>
    </row>
    <row r="3889" spans="20:21" x14ac:dyDescent="0.45">
      <c r="T3889" s="17"/>
      <c r="U3889" s="1"/>
    </row>
    <row r="3890" spans="20:21" x14ac:dyDescent="0.45">
      <c r="T3890" s="17"/>
      <c r="U3890" s="1"/>
    </row>
    <row r="3891" spans="20:21" x14ac:dyDescent="0.45">
      <c r="T3891" s="17"/>
      <c r="U3891" s="1"/>
    </row>
    <row r="3892" spans="20:21" x14ac:dyDescent="0.45">
      <c r="T3892" s="17"/>
      <c r="U3892" s="1"/>
    </row>
    <row r="3893" spans="20:21" x14ac:dyDescent="0.45">
      <c r="T3893" s="17"/>
      <c r="U3893" s="1"/>
    </row>
    <row r="3894" spans="20:21" x14ac:dyDescent="0.45">
      <c r="T3894" s="17"/>
      <c r="U3894" s="1"/>
    </row>
    <row r="3895" spans="20:21" x14ac:dyDescent="0.45">
      <c r="T3895" s="17"/>
      <c r="U3895" s="1"/>
    </row>
    <row r="3896" spans="20:21" x14ac:dyDescent="0.45">
      <c r="T3896" s="17"/>
      <c r="U3896" s="1"/>
    </row>
    <row r="3897" spans="20:21" x14ac:dyDescent="0.45">
      <c r="T3897" s="17"/>
      <c r="U3897" s="1"/>
    </row>
    <row r="3898" spans="20:21" x14ac:dyDescent="0.45">
      <c r="T3898" s="17"/>
      <c r="U3898" s="1"/>
    </row>
    <row r="3899" spans="20:21" x14ac:dyDescent="0.45">
      <c r="T3899" s="17"/>
      <c r="U3899" s="1"/>
    </row>
    <row r="3900" spans="20:21" x14ac:dyDescent="0.45">
      <c r="T3900" s="17"/>
      <c r="U3900" s="1"/>
    </row>
    <row r="3901" spans="20:21" x14ac:dyDescent="0.45">
      <c r="T3901" s="17"/>
      <c r="U3901" s="1"/>
    </row>
    <row r="3902" spans="20:21" x14ac:dyDescent="0.45">
      <c r="T3902" s="17"/>
      <c r="U3902" s="1"/>
    </row>
    <row r="3903" spans="20:21" x14ac:dyDescent="0.45">
      <c r="T3903" s="17"/>
      <c r="U3903" s="1"/>
    </row>
    <row r="3904" spans="20:21" x14ac:dyDescent="0.45">
      <c r="T3904" s="17"/>
      <c r="U3904" s="1"/>
    </row>
    <row r="3905" spans="20:21" x14ac:dyDescent="0.45">
      <c r="T3905" s="17"/>
      <c r="U3905" s="1"/>
    </row>
    <row r="3906" spans="20:21" x14ac:dyDescent="0.45">
      <c r="T3906" s="17"/>
      <c r="U3906" s="1"/>
    </row>
    <row r="3907" spans="20:21" x14ac:dyDescent="0.45">
      <c r="T3907" s="17"/>
      <c r="U3907" s="1"/>
    </row>
    <row r="3908" spans="20:21" x14ac:dyDescent="0.45">
      <c r="T3908" s="17"/>
      <c r="U3908" s="1"/>
    </row>
    <row r="3909" spans="20:21" x14ac:dyDescent="0.45">
      <c r="T3909" s="17"/>
      <c r="U3909" s="1"/>
    </row>
    <row r="3910" spans="20:21" x14ac:dyDescent="0.45">
      <c r="T3910" s="17"/>
      <c r="U3910" s="1"/>
    </row>
    <row r="3911" spans="20:21" x14ac:dyDescent="0.45">
      <c r="T3911" s="17"/>
      <c r="U3911" s="1"/>
    </row>
    <row r="3912" spans="20:21" x14ac:dyDescent="0.45">
      <c r="T3912" s="17"/>
      <c r="U3912" s="1"/>
    </row>
    <row r="3913" spans="20:21" x14ac:dyDescent="0.45">
      <c r="T3913" s="17"/>
      <c r="U3913" s="1"/>
    </row>
    <row r="3914" spans="20:21" x14ac:dyDescent="0.45">
      <c r="T3914" s="17"/>
      <c r="U3914" s="1"/>
    </row>
    <row r="3915" spans="20:21" x14ac:dyDescent="0.45">
      <c r="T3915" s="17"/>
      <c r="U3915" s="1"/>
    </row>
    <row r="3916" spans="20:21" x14ac:dyDescent="0.45">
      <c r="T3916" s="17"/>
      <c r="U3916" s="1"/>
    </row>
    <row r="3917" spans="20:21" x14ac:dyDescent="0.45">
      <c r="T3917" s="17"/>
      <c r="U3917" s="1"/>
    </row>
    <row r="3918" spans="20:21" x14ac:dyDescent="0.45">
      <c r="T3918" s="17"/>
      <c r="U3918" s="1"/>
    </row>
    <row r="3919" spans="20:21" x14ac:dyDescent="0.45">
      <c r="T3919" s="17"/>
      <c r="U3919" s="1"/>
    </row>
    <row r="3920" spans="20:21" x14ac:dyDescent="0.45">
      <c r="T3920" s="17"/>
      <c r="U3920" s="1"/>
    </row>
    <row r="3921" spans="20:21" x14ac:dyDescent="0.45">
      <c r="T3921" s="17"/>
      <c r="U3921" s="1"/>
    </row>
    <row r="3922" spans="20:21" x14ac:dyDescent="0.45">
      <c r="T3922" s="17"/>
      <c r="U3922" s="1"/>
    </row>
    <row r="3923" spans="20:21" x14ac:dyDescent="0.45">
      <c r="T3923" s="17"/>
      <c r="U3923" s="1"/>
    </row>
    <row r="3924" spans="20:21" x14ac:dyDescent="0.45">
      <c r="T3924" s="17"/>
      <c r="U3924" s="1"/>
    </row>
    <row r="3925" spans="20:21" x14ac:dyDescent="0.45">
      <c r="T3925" s="17"/>
      <c r="U3925" s="1"/>
    </row>
    <row r="3926" spans="20:21" x14ac:dyDescent="0.45">
      <c r="T3926" s="17"/>
      <c r="U3926" s="1"/>
    </row>
    <row r="3927" spans="20:21" x14ac:dyDescent="0.45">
      <c r="T3927" s="17"/>
      <c r="U3927" s="1"/>
    </row>
    <row r="3928" spans="20:21" x14ac:dyDescent="0.45">
      <c r="T3928" s="17"/>
      <c r="U3928" s="1"/>
    </row>
    <row r="3929" spans="20:21" x14ac:dyDescent="0.45">
      <c r="T3929" s="17"/>
      <c r="U3929" s="1"/>
    </row>
    <row r="3930" spans="20:21" x14ac:dyDescent="0.45">
      <c r="T3930" s="17"/>
      <c r="U3930" s="1"/>
    </row>
    <row r="3931" spans="20:21" x14ac:dyDescent="0.45">
      <c r="T3931" s="17"/>
      <c r="U3931" s="1"/>
    </row>
    <row r="3932" spans="20:21" x14ac:dyDescent="0.45">
      <c r="T3932" s="17"/>
      <c r="U3932" s="1"/>
    </row>
    <row r="3933" spans="20:21" x14ac:dyDescent="0.45">
      <c r="T3933" s="17"/>
      <c r="U3933" s="1"/>
    </row>
    <row r="3934" spans="20:21" x14ac:dyDescent="0.45">
      <c r="T3934" s="17"/>
      <c r="U3934" s="1"/>
    </row>
    <row r="3935" spans="20:21" x14ac:dyDescent="0.45">
      <c r="T3935" s="17"/>
      <c r="U3935" s="1"/>
    </row>
    <row r="3936" spans="20:21" x14ac:dyDescent="0.45">
      <c r="T3936" s="17"/>
      <c r="U3936" s="1"/>
    </row>
    <row r="3937" spans="20:21" x14ac:dyDescent="0.45">
      <c r="T3937" s="17"/>
      <c r="U3937" s="1"/>
    </row>
    <row r="3938" spans="20:21" x14ac:dyDescent="0.45">
      <c r="T3938" s="17"/>
      <c r="U3938" s="1"/>
    </row>
    <row r="3939" spans="20:21" x14ac:dyDescent="0.45">
      <c r="T3939" s="17"/>
      <c r="U3939" s="1"/>
    </row>
    <row r="3940" spans="20:21" x14ac:dyDescent="0.45">
      <c r="T3940" s="17"/>
      <c r="U3940" s="1"/>
    </row>
    <row r="3941" spans="20:21" x14ac:dyDescent="0.45">
      <c r="T3941" s="17"/>
      <c r="U3941" s="1"/>
    </row>
    <row r="3942" spans="20:21" x14ac:dyDescent="0.45">
      <c r="T3942" s="17"/>
      <c r="U3942" s="1"/>
    </row>
    <row r="3943" spans="20:21" x14ac:dyDescent="0.45">
      <c r="T3943" s="17"/>
      <c r="U3943" s="1"/>
    </row>
    <row r="3944" spans="20:21" x14ac:dyDescent="0.45">
      <c r="T3944" s="17"/>
      <c r="U3944" s="1"/>
    </row>
    <row r="3945" spans="20:21" x14ac:dyDescent="0.45">
      <c r="T3945" s="17"/>
      <c r="U3945" s="1"/>
    </row>
    <row r="3946" spans="20:21" x14ac:dyDescent="0.45">
      <c r="T3946" s="17"/>
      <c r="U3946" s="1"/>
    </row>
    <row r="3947" spans="20:21" x14ac:dyDescent="0.45">
      <c r="T3947" s="17"/>
      <c r="U3947" s="1"/>
    </row>
    <row r="3948" spans="20:21" x14ac:dyDescent="0.45">
      <c r="T3948" s="17"/>
      <c r="U3948" s="1"/>
    </row>
    <row r="3949" spans="20:21" x14ac:dyDescent="0.45">
      <c r="T3949" s="17"/>
      <c r="U3949" s="1"/>
    </row>
    <row r="3950" spans="20:21" x14ac:dyDescent="0.45">
      <c r="T3950" s="17"/>
      <c r="U3950" s="1"/>
    </row>
    <row r="3951" spans="20:21" x14ac:dyDescent="0.45">
      <c r="T3951" s="17"/>
      <c r="U3951" s="1"/>
    </row>
    <row r="3952" spans="20:21" x14ac:dyDescent="0.45">
      <c r="T3952" s="17"/>
      <c r="U3952" s="1"/>
    </row>
    <row r="3953" spans="20:21" x14ac:dyDescent="0.45">
      <c r="T3953" s="17"/>
      <c r="U3953" s="1"/>
    </row>
    <row r="3954" spans="20:21" x14ac:dyDescent="0.45">
      <c r="T3954" s="17"/>
      <c r="U3954" s="1"/>
    </row>
    <row r="3955" spans="20:21" x14ac:dyDescent="0.45">
      <c r="T3955" s="17"/>
      <c r="U3955" s="1"/>
    </row>
    <row r="3956" spans="20:21" x14ac:dyDescent="0.45">
      <c r="T3956" s="17"/>
      <c r="U3956" s="1"/>
    </row>
    <row r="3957" spans="20:21" x14ac:dyDescent="0.45">
      <c r="T3957" s="17"/>
      <c r="U3957" s="1"/>
    </row>
    <row r="3958" spans="20:21" x14ac:dyDescent="0.45">
      <c r="T3958" s="17"/>
      <c r="U3958" s="1"/>
    </row>
    <row r="3959" spans="20:21" x14ac:dyDescent="0.45">
      <c r="T3959" s="17"/>
      <c r="U3959" s="1"/>
    </row>
    <row r="3960" spans="20:21" x14ac:dyDescent="0.45">
      <c r="T3960" s="17"/>
      <c r="U3960" s="1"/>
    </row>
    <row r="3961" spans="20:21" x14ac:dyDescent="0.45">
      <c r="T3961" s="17"/>
      <c r="U3961" s="1"/>
    </row>
    <row r="3962" spans="20:21" x14ac:dyDescent="0.45">
      <c r="T3962" s="17"/>
      <c r="U3962" s="1"/>
    </row>
    <row r="3963" spans="20:21" x14ac:dyDescent="0.45">
      <c r="T3963" s="17"/>
      <c r="U3963" s="1"/>
    </row>
    <row r="3964" spans="20:21" x14ac:dyDescent="0.45">
      <c r="T3964" s="17"/>
      <c r="U3964" s="1"/>
    </row>
    <row r="3965" spans="20:21" x14ac:dyDescent="0.45">
      <c r="T3965" s="17"/>
      <c r="U3965" s="1"/>
    </row>
    <row r="3966" spans="20:21" x14ac:dyDescent="0.45">
      <c r="T3966" s="17"/>
      <c r="U3966" s="1"/>
    </row>
    <row r="3967" spans="20:21" x14ac:dyDescent="0.45">
      <c r="T3967" s="17"/>
      <c r="U3967" s="1"/>
    </row>
    <row r="3968" spans="20:21" x14ac:dyDescent="0.45">
      <c r="T3968" s="17"/>
      <c r="U3968" s="1"/>
    </row>
    <row r="3969" spans="20:21" x14ac:dyDescent="0.45">
      <c r="T3969" s="17"/>
      <c r="U3969" s="1"/>
    </row>
    <row r="3970" spans="20:21" x14ac:dyDescent="0.45">
      <c r="T3970" s="17"/>
      <c r="U3970" s="1"/>
    </row>
    <row r="3971" spans="20:21" x14ac:dyDescent="0.45">
      <c r="T3971" s="17"/>
      <c r="U3971" s="1"/>
    </row>
    <row r="3972" spans="20:21" x14ac:dyDescent="0.45">
      <c r="T3972" s="17"/>
      <c r="U3972" s="1"/>
    </row>
    <row r="3973" spans="20:21" x14ac:dyDescent="0.45">
      <c r="T3973" s="17"/>
      <c r="U3973" s="1"/>
    </row>
    <row r="3974" spans="20:21" x14ac:dyDescent="0.45">
      <c r="T3974" s="17"/>
      <c r="U3974" s="1"/>
    </row>
    <row r="3975" spans="20:21" x14ac:dyDescent="0.45">
      <c r="T3975" s="17"/>
      <c r="U3975" s="1"/>
    </row>
    <row r="3976" spans="20:21" x14ac:dyDescent="0.45">
      <c r="T3976" s="17"/>
      <c r="U3976" s="1"/>
    </row>
    <row r="3977" spans="20:21" x14ac:dyDescent="0.45">
      <c r="T3977" s="17"/>
      <c r="U3977" s="1"/>
    </row>
    <row r="3978" spans="20:21" x14ac:dyDescent="0.45">
      <c r="T3978" s="17"/>
      <c r="U3978" s="1"/>
    </row>
    <row r="3979" spans="20:21" x14ac:dyDescent="0.45">
      <c r="T3979" s="17"/>
      <c r="U3979" s="1"/>
    </row>
    <row r="3980" spans="20:21" x14ac:dyDescent="0.45">
      <c r="T3980" s="17"/>
      <c r="U3980" s="1"/>
    </row>
    <row r="3981" spans="20:21" x14ac:dyDescent="0.45">
      <c r="T3981" s="17"/>
      <c r="U3981" s="1"/>
    </row>
    <row r="3982" spans="20:21" x14ac:dyDescent="0.45">
      <c r="T3982" s="17"/>
      <c r="U3982" s="1"/>
    </row>
    <row r="3983" spans="20:21" x14ac:dyDescent="0.45">
      <c r="T3983" s="17"/>
      <c r="U3983" s="1"/>
    </row>
    <row r="3984" spans="20:21" x14ac:dyDescent="0.45">
      <c r="T3984" s="17"/>
      <c r="U3984" s="1"/>
    </row>
    <row r="3985" spans="20:21" x14ac:dyDescent="0.45">
      <c r="T3985" s="17"/>
      <c r="U3985" s="1"/>
    </row>
    <row r="3986" spans="20:21" x14ac:dyDescent="0.45">
      <c r="T3986" s="17"/>
      <c r="U3986" s="1"/>
    </row>
    <row r="3987" spans="20:21" x14ac:dyDescent="0.45">
      <c r="T3987" s="17"/>
      <c r="U3987" s="1"/>
    </row>
    <row r="3988" spans="20:21" x14ac:dyDescent="0.45">
      <c r="T3988" s="17"/>
      <c r="U3988" s="1"/>
    </row>
    <row r="3989" spans="20:21" x14ac:dyDescent="0.45">
      <c r="T3989" s="17"/>
      <c r="U3989" s="1"/>
    </row>
    <row r="3990" spans="20:21" x14ac:dyDescent="0.45">
      <c r="T3990" s="17"/>
      <c r="U3990" s="1"/>
    </row>
    <row r="3991" spans="20:21" x14ac:dyDescent="0.45">
      <c r="T3991" s="17"/>
      <c r="U3991" s="1"/>
    </row>
    <row r="3992" spans="20:21" x14ac:dyDescent="0.45">
      <c r="T3992" s="17"/>
      <c r="U3992" s="1"/>
    </row>
    <row r="3993" spans="20:21" x14ac:dyDescent="0.45">
      <c r="T3993" s="17"/>
      <c r="U3993" s="1"/>
    </row>
    <row r="3994" spans="20:21" x14ac:dyDescent="0.45">
      <c r="T3994" s="17"/>
      <c r="U3994" s="1"/>
    </row>
    <row r="3995" spans="20:21" x14ac:dyDescent="0.45">
      <c r="T3995" s="17"/>
      <c r="U3995" s="1"/>
    </row>
    <row r="3996" spans="20:21" x14ac:dyDescent="0.45">
      <c r="T3996" s="17"/>
      <c r="U3996" s="1"/>
    </row>
    <row r="3997" spans="20:21" x14ac:dyDescent="0.45">
      <c r="T3997" s="17"/>
      <c r="U3997" s="1"/>
    </row>
    <row r="3998" spans="20:21" x14ac:dyDescent="0.45">
      <c r="T3998" s="17"/>
      <c r="U3998" s="1"/>
    </row>
    <row r="3999" spans="20:21" x14ac:dyDescent="0.45">
      <c r="T3999" s="17"/>
      <c r="U3999" s="1"/>
    </row>
    <row r="4000" spans="20:21" x14ac:dyDescent="0.45">
      <c r="T4000" s="17"/>
      <c r="U4000" s="1"/>
    </row>
    <row r="4001" spans="20:21" x14ac:dyDescent="0.45">
      <c r="T4001" s="17"/>
      <c r="U4001" s="1"/>
    </row>
    <row r="4002" spans="20:21" x14ac:dyDescent="0.45">
      <c r="T4002" s="17"/>
      <c r="U4002" s="1"/>
    </row>
    <row r="4003" spans="20:21" x14ac:dyDescent="0.45">
      <c r="T4003" s="17"/>
      <c r="U4003" s="1"/>
    </row>
    <row r="4004" spans="20:21" x14ac:dyDescent="0.45">
      <c r="T4004" s="17"/>
      <c r="U4004" s="1"/>
    </row>
    <row r="4005" spans="20:21" x14ac:dyDescent="0.45">
      <c r="T4005" s="17"/>
      <c r="U4005" s="1"/>
    </row>
    <row r="4006" spans="20:21" x14ac:dyDescent="0.45">
      <c r="T4006" s="17"/>
      <c r="U4006" s="1"/>
    </row>
    <row r="4007" spans="20:21" x14ac:dyDescent="0.45">
      <c r="T4007" s="17"/>
      <c r="U4007" s="1"/>
    </row>
    <row r="4008" spans="20:21" x14ac:dyDescent="0.45">
      <c r="T4008" s="17"/>
      <c r="U4008" s="1"/>
    </row>
    <row r="4009" spans="20:21" x14ac:dyDescent="0.45">
      <c r="T4009" s="17"/>
      <c r="U4009" s="1"/>
    </row>
    <row r="4010" spans="20:21" x14ac:dyDescent="0.45">
      <c r="T4010" s="17"/>
      <c r="U4010" s="1"/>
    </row>
    <row r="4011" spans="20:21" x14ac:dyDescent="0.45">
      <c r="T4011" s="17"/>
      <c r="U4011" s="1"/>
    </row>
    <row r="4012" spans="20:21" x14ac:dyDescent="0.45">
      <c r="T4012" s="17"/>
      <c r="U4012" s="1"/>
    </row>
    <row r="4013" spans="20:21" x14ac:dyDescent="0.45">
      <c r="T4013" s="17"/>
      <c r="U4013" s="1"/>
    </row>
    <row r="4014" spans="20:21" x14ac:dyDescent="0.45">
      <c r="T4014" s="17"/>
      <c r="U4014" s="1"/>
    </row>
    <row r="4015" spans="20:21" x14ac:dyDescent="0.45">
      <c r="T4015" s="17"/>
      <c r="U4015" s="1"/>
    </row>
    <row r="4016" spans="20:21" x14ac:dyDescent="0.45">
      <c r="T4016" s="17"/>
      <c r="U4016" s="1"/>
    </row>
    <row r="4017" spans="20:21" x14ac:dyDescent="0.45">
      <c r="T4017" s="17"/>
      <c r="U4017" s="1"/>
    </row>
    <row r="4018" spans="20:21" x14ac:dyDescent="0.45">
      <c r="T4018" s="17"/>
      <c r="U4018" s="1"/>
    </row>
    <row r="4019" spans="20:21" x14ac:dyDescent="0.45">
      <c r="T4019" s="17"/>
      <c r="U4019" s="1"/>
    </row>
    <row r="4020" spans="20:21" x14ac:dyDescent="0.45">
      <c r="T4020" s="17"/>
      <c r="U4020" s="1"/>
    </row>
    <row r="4021" spans="20:21" x14ac:dyDescent="0.45">
      <c r="T4021" s="17"/>
      <c r="U4021" s="1"/>
    </row>
    <row r="4022" spans="20:21" x14ac:dyDescent="0.45">
      <c r="T4022" s="17"/>
      <c r="U4022" s="1"/>
    </row>
    <row r="4023" spans="20:21" x14ac:dyDescent="0.45">
      <c r="T4023" s="17"/>
      <c r="U4023" s="1"/>
    </row>
    <row r="4024" spans="20:21" x14ac:dyDescent="0.45">
      <c r="T4024" s="17"/>
      <c r="U4024" s="1"/>
    </row>
    <row r="4025" spans="20:21" x14ac:dyDescent="0.45">
      <c r="T4025" s="17"/>
      <c r="U4025" s="1"/>
    </row>
    <row r="4026" spans="20:21" x14ac:dyDescent="0.45">
      <c r="T4026" s="17"/>
      <c r="U4026" s="1"/>
    </row>
    <row r="4027" spans="20:21" x14ac:dyDescent="0.45">
      <c r="T4027" s="17"/>
      <c r="U4027" s="1"/>
    </row>
    <row r="4028" spans="20:21" x14ac:dyDescent="0.45">
      <c r="T4028" s="17"/>
      <c r="U4028" s="1"/>
    </row>
    <row r="4029" spans="20:21" x14ac:dyDescent="0.45">
      <c r="T4029" s="17"/>
      <c r="U4029" s="1"/>
    </row>
    <row r="4030" spans="20:21" x14ac:dyDescent="0.45">
      <c r="T4030" s="17"/>
      <c r="U4030" s="1"/>
    </row>
    <row r="4031" spans="20:21" x14ac:dyDescent="0.45">
      <c r="T4031" s="17"/>
      <c r="U4031" s="1"/>
    </row>
    <row r="4032" spans="20:21" x14ac:dyDescent="0.45">
      <c r="T4032" s="17"/>
      <c r="U4032" s="1"/>
    </row>
    <row r="4033" spans="20:21" x14ac:dyDescent="0.45">
      <c r="T4033" s="17"/>
      <c r="U4033" s="1"/>
    </row>
    <row r="4034" spans="20:21" x14ac:dyDescent="0.45">
      <c r="T4034" s="17"/>
      <c r="U4034" s="1"/>
    </row>
    <row r="4035" spans="20:21" x14ac:dyDescent="0.45">
      <c r="T4035" s="17"/>
      <c r="U4035" s="1"/>
    </row>
    <row r="4036" spans="20:21" x14ac:dyDescent="0.45">
      <c r="T4036" s="17"/>
      <c r="U4036" s="1"/>
    </row>
    <row r="4037" spans="20:21" x14ac:dyDescent="0.45">
      <c r="T4037" s="17"/>
      <c r="U4037" s="1"/>
    </row>
    <row r="4038" spans="20:21" x14ac:dyDescent="0.45">
      <c r="T4038" s="17"/>
      <c r="U4038" s="1"/>
    </row>
    <row r="4039" spans="20:21" x14ac:dyDescent="0.45">
      <c r="T4039" s="17"/>
      <c r="U4039" s="1"/>
    </row>
    <row r="4040" spans="20:21" x14ac:dyDescent="0.45">
      <c r="T4040" s="17"/>
      <c r="U4040" s="1"/>
    </row>
    <row r="4041" spans="20:21" x14ac:dyDescent="0.45">
      <c r="T4041" s="17"/>
      <c r="U4041" s="1"/>
    </row>
    <row r="4042" spans="20:21" x14ac:dyDescent="0.45">
      <c r="T4042" s="17"/>
      <c r="U4042" s="1"/>
    </row>
    <row r="4043" spans="20:21" x14ac:dyDescent="0.45">
      <c r="T4043" s="17"/>
      <c r="U4043" s="1"/>
    </row>
    <row r="4044" spans="20:21" x14ac:dyDescent="0.45">
      <c r="T4044" s="17"/>
      <c r="U4044" s="1"/>
    </row>
    <row r="4045" spans="20:21" x14ac:dyDescent="0.45">
      <c r="T4045" s="17"/>
      <c r="U4045" s="1"/>
    </row>
    <row r="4046" spans="20:21" x14ac:dyDescent="0.45">
      <c r="T4046" s="17"/>
      <c r="U4046" s="1"/>
    </row>
    <row r="4047" spans="20:21" x14ac:dyDescent="0.45">
      <c r="T4047" s="17"/>
      <c r="U4047" s="1"/>
    </row>
    <row r="4048" spans="20:21" x14ac:dyDescent="0.45">
      <c r="T4048" s="17"/>
      <c r="U4048" s="1"/>
    </row>
    <row r="4049" spans="20:21" x14ac:dyDescent="0.45">
      <c r="T4049" s="17"/>
      <c r="U4049" s="1"/>
    </row>
    <row r="4050" spans="20:21" x14ac:dyDescent="0.45">
      <c r="T4050" s="17"/>
      <c r="U4050" s="1"/>
    </row>
    <row r="4051" spans="20:21" x14ac:dyDescent="0.45">
      <c r="T4051" s="17"/>
      <c r="U4051" s="1"/>
    </row>
    <row r="4052" spans="20:21" x14ac:dyDescent="0.45">
      <c r="T4052" s="17"/>
      <c r="U4052" s="1"/>
    </row>
    <row r="4053" spans="20:21" x14ac:dyDescent="0.45">
      <c r="T4053" s="17"/>
      <c r="U4053" s="1"/>
    </row>
    <row r="4054" spans="20:21" x14ac:dyDescent="0.45">
      <c r="T4054" s="17"/>
      <c r="U4054" s="1"/>
    </row>
    <row r="4055" spans="20:21" x14ac:dyDescent="0.45">
      <c r="T4055" s="17"/>
      <c r="U4055" s="1"/>
    </row>
    <row r="4056" spans="20:21" x14ac:dyDescent="0.45">
      <c r="T4056" s="17"/>
      <c r="U4056" s="1"/>
    </row>
    <row r="4057" spans="20:21" x14ac:dyDescent="0.45">
      <c r="T4057" s="17"/>
      <c r="U4057" s="1"/>
    </row>
    <row r="4058" spans="20:21" x14ac:dyDescent="0.45">
      <c r="T4058" s="17"/>
      <c r="U4058" s="1"/>
    </row>
    <row r="4059" spans="20:21" x14ac:dyDescent="0.45">
      <c r="T4059" s="17"/>
      <c r="U4059" s="1"/>
    </row>
    <row r="4060" spans="20:21" x14ac:dyDescent="0.45">
      <c r="T4060" s="17"/>
      <c r="U4060" s="1"/>
    </row>
    <row r="4061" spans="20:21" x14ac:dyDescent="0.45">
      <c r="T4061" s="17"/>
      <c r="U4061" s="1"/>
    </row>
    <row r="4062" spans="20:21" x14ac:dyDescent="0.45">
      <c r="T4062" s="17"/>
      <c r="U4062" s="1"/>
    </row>
    <row r="4063" spans="20:21" x14ac:dyDescent="0.45">
      <c r="T4063" s="17"/>
      <c r="U4063" s="1"/>
    </row>
    <row r="4064" spans="20:21" x14ac:dyDescent="0.45">
      <c r="T4064" s="17"/>
      <c r="U4064" s="1"/>
    </row>
    <row r="4065" spans="20:21" x14ac:dyDescent="0.45">
      <c r="T4065" s="17"/>
      <c r="U4065" s="1"/>
    </row>
    <row r="4066" spans="20:21" x14ac:dyDescent="0.45">
      <c r="T4066" s="17"/>
      <c r="U4066" s="1"/>
    </row>
    <row r="4067" spans="20:21" x14ac:dyDescent="0.45">
      <c r="T4067" s="17"/>
      <c r="U4067" s="1"/>
    </row>
    <row r="4068" spans="20:21" x14ac:dyDescent="0.45">
      <c r="T4068" s="17"/>
      <c r="U4068" s="1"/>
    </row>
    <row r="4069" spans="20:21" x14ac:dyDescent="0.45">
      <c r="T4069" s="17"/>
      <c r="U4069" s="1"/>
    </row>
    <row r="4070" spans="20:21" x14ac:dyDescent="0.45">
      <c r="T4070" s="17"/>
      <c r="U4070" s="1"/>
    </row>
    <row r="4071" spans="20:21" x14ac:dyDescent="0.45">
      <c r="T4071" s="17"/>
      <c r="U4071" s="1"/>
    </row>
    <row r="4072" spans="20:21" x14ac:dyDescent="0.45">
      <c r="T4072" s="17"/>
      <c r="U4072" s="1"/>
    </row>
    <row r="4073" spans="20:21" x14ac:dyDescent="0.45">
      <c r="T4073" s="17"/>
      <c r="U4073" s="1"/>
    </row>
    <row r="4074" spans="20:21" x14ac:dyDescent="0.45">
      <c r="T4074" s="17"/>
      <c r="U4074" s="1"/>
    </row>
    <row r="4075" spans="20:21" x14ac:dyDescent="0.45">
      <c r="T4075" s="17"/>
      <c r="U4075" s="1"/>
    </row>
    <row r="4076" spans="20:21" x14ac:dyDescent="0.45">
      <c r="T4076" s="17"/>
      <c r="U4076" s="1"/>
    </row>
    <row r="4077" spans="20:21" x14ac:dyDescent="0.45">
      <c r="T4077" s="17"/>
      <c r="U4077" s="1"/>
    </row>
    <row r="4078" spans="20:21" x14ac:dyDescent="0.45">
      <c r="T4078" s="17"/>
      <c r="U4078" s="1"/>
    </row>
    <row r="4079" spans="20:21" x14ac:dyDescent="0.45">
      <c r="T4079" s="17"/>
      <c r="U4079" s="1"/>
    </row>
    <row r="4080" spans="20:21" x14ac:dyDescent="0.45">
      <c r="T4080" s="17"/>
      <c r="U4080" s="1"/>
    </row>
    <row r="4081" spans="20:21" x14ac:dyDescent="0.45">
      <c r="T4081" s="17"/>
      <c r="U4081" s="1"/>
    </row>
    <row r="4082" spans="20:21" x14ac:dyDescent="0.45">
      <c r="T4082" s="17"/>
      <c r="U4082" s="1"/>
    </row>
    <row r="4083" spans="20:21" x14ac:dyDescent="0.45">
      <c r="T4083" s="17"/>
      <c r="U4083" s="1"/>
    </row>
    <row r="4084" spans="20:21" x14ac:dyDescent="0.45">
      <c r="T4084" s="17"/>
      <c r="U4084" s="1"/>
    </row>
    <row r="4085" spans="20:21" x14ac:dyDescent="0.45">
      <c r="T4085" s="17"/>
      <c r="U4085" s="1"/>
    </row>
    <row r="4086" spans="20:21" x14ac:dyDescent="0.45">
      <c r="T4086" s="17"/>
      <c r="U4086" s="1"/>
    </row>
    <row r="4087" spans="20:21" x14ac:dyDescent="0.45">
      <c r="T4087" s="17"/>
      <c r="U4087" s="1"/>
    </row>
    <row r="4088" spans="20:21" x14ac:dyDescent="0.45">
      <c r="T4088" s="17"/>
      <c r="U4088" s="1"/>
    </row>
    <row r="4089" spans="20:21" x14ac:dyDescent="0.45">
      <c r="T4089" s="17"/>
      <c r="U4089" s="1"/>
    </row>
    <row r="4090" spans="20:21" x14ac:dyDescent="0.45">
      <c r="T4090" s="17"/>
      <c r="U4090" s="1"/>
    </row>
    <row r="4091" spans="20:21" x14ac:dyDescent="0.45">
      <c r="T4091" s="17"/>
      <c r="U4091" s="1"/>
    </row>
    <row r="4092" spans="20:21" x14ac:dyDescent="0.45">
      <c r="T4092" s="17"/>
      <c r="U4092" s="1"/>
    </row>
    <row r="4093" spans="20:21" x14ac:dyDescent="0.45">
      <c r="T4093" s="17"/>
      <c r="U4093" s="1"/>
    </row>
    <row r="4094" spans="20:21" x14ac:dyDescent="0.45">
      <c r="T4094" s="17"/>
      <c r="U4094" s="1"/>
    </row>
    <row r="4095" spans="20:21" x14ac:dyDescent="0.45">
      <c r="T4095" s="17"/>
      <c r="U4095" s="1"/>
    </row>
    <row r="4096" spans="20:21" x14ac:dyDescent="0.45">
      <c r="T4096" s="17"/>
      <c r="U4096" s="1"/>
    </row>
    <row r="4097" spans="20:21" x14ac:dyDescent="0.45">
      <c r="T4097" s="17"/>
      <c r="U4097" s="1"/>
    </row>
    <row r="4098" spans="20:21" x14ac:dyDescent="0.45">
      <c r="T4098" s="17"/>
      <c r="U4098" s="1"/>
    </row>
    <row r="4099" spans="20:21" x14ac:dyDescent="0.45">
      <c r="T4099" s="17"/>
      <c r="U4099" s="1"/>
    </row>
    <row r="4100" spans="20:21" x14ac:dyDescent="0.45">
      <c r="T4100" s="17"/>
      <c r="U4100" s="1"/>
    </row>
    <row r="4101" spans="20:21" x14ac:dyDescent="0.45">
      <c r="T4101" s="17"/>
      <c r="U4101" s="1"/>
    </row>
    <row r="4102" spans="20:21" x14ac:dyDescent="0.45">
      <c r="T4102" s="17"/>
      <c r="U4102" s="1"/>
    </row>
    <row r="4103" spans="20:21" x14ac:dyDescent="0.45">
      <c r="T4103" s="17"/>
      <c r="U4103" s="1"/>
    </row>
    <row r="4104" spans="20:21" x14ac:dyDescent="0.45">
      <c r="T4104" s="17"/>
      <c r="U4104" s="1"/>
    </row>
    <row r="4105" spans="20:21" x14ac:dyDescent="0.45">
      <c r="T4105" s="17"/>
      <c r="U4105" s="1"/>
    </row>
    <row r="4106" spans="20:21" x14ac:dyDescent="0.45">
      <c r="T4106" s="17"/>
      <c r="U4106" s="1"/>
    </row>
    <row r="4107" spans="20:21" x14ac:dyDescent="0.45">
      <c r="T4107" s="17"/>
      <c r="U4107" s="1"/>
    </row>
    <row r="4108" spans="20:21" x14ac:dyDescent="0.45">
      <c r="T4108" s="17"/>
      <c r="U4108" s="1"/>
    </row>
    <row r="4109" spans="20:21" x14ac:dyDescent="0.45">
      <c r="T4109" s="17"/>
      <c r="U4109" s="1"/>
    </row>
    <row r="4110" spans="20:21" x14ac:dyDescent="0.45">
      <c r="T4110" s="17"/>
      <c r="U4110" s="1"/>
    </row>
    <row r="4111" spans="20:21" x14ac:dyDescent="0.45">
      <c r="T4111" s="17"/>
      <c r="U4111" s="1"/>
    </row>
    <row r="4112" spans="20:21" x14ac:dyDescent="0.45">
      <c r="T4112" s="17"/>
      <c r="U4112" s="1"/>
    </row>
    <row r="4113" spans="20:21" x14ac:dyDescent="0.45">
      <c r="T4113" s="17"/>
      <c r="U4113" s="1"/>
    </row>
    <row r="4114" spans="20:21" x14ac:dyDescent="0.45">
      <c r="T4114" s="17"/>
      <c r="U4114" s="1"/>
    </row>
    <row r="4115" spans="20:21" x14ac:dyDescent="0.45">
      <c r="T4115" s="17"/>
      <c r="U4115" s="1"/>
    </row>
    <row r="4116" spans="20:21" x14ac:dyDescent="0.45">
      <c r="T4116" s="17"/>
      <c r="U4116" s="1"/>
    </row>
    <row r="4117" spans="20:21" x14ac:dyDescent="0.45">
      <c r="T4117" s="17"/>
      <c r="U4117" s="1"/>
    </row>
    <row r="4118" spans="20:21" x14ac:dyDescent="0.45">
      <c r="T4118" s="17"/>
      <c r="U4118" s="1"/>
    </row>
    <row r="4119" spans="20:21" x14ac:dyDescent="0.45">
      <c r="T4119" s="17"/>
      <c r="U4119" s="1"/>
    </row>
    <row r="4120" spans="20:21" x14ac:dyDescent="0.45">
      <c r="T4120" s="17"/>
      <c r="U4120" s="1"/>
    </row>
    <row r="4121" spans="20:21" x14ac:dyDescent="0.45">
      <c r="T4121" s="17"/>
      <c r="U4121" s="1"/>
    </row>
    <row r="4122" spans="20:21" x14ac:dyDescent="0.45">
      <c r="T4122" s="17"/>
      <c r="U4122" s="1"/>
    </row>
    <row r="4123" spans="20:21" x14ac:dyDescent="0.45">
      <c r="T4123" s="17"/>
      <c r="U4123" s="1"/>
    </row>
    <row r="4124" spans="20:21" x14ac:dyDescent="0.45">
      <c r="T4124" s="17"/>
      <c r="U4124" s="1"/>
    </row>
    <row r="4125" spans="20:21" x14ac:dyDescent="0.45">
      <c r="T4125" s="17"/>
      <c r="U4125" s="1"/>
    </row>
    <row r="4126" spans="20:21" x14ac:dyDescent="0.45">
      <c r="T4126" s="17"/>
      <c r="U4126" s="1"/>
    </row>
    <row r="4127" spans="20:21" x14ac:dyDescent="0.45">
      <c r="T4127" s="17"/>
      <c r="U4127" s="1"/>
    </row>
    <row r="4128" spans="20:21" x14ac:dyDescent="0.45">
      <c r="T4128" s="17"/>
      <c r="U4128" s="1"/>
    </row>
    <row r="4129" spans="20:21" x14ac:dyDescent="0.45">
      <c r="T4129" s="17"/>
      <c r="U4129" s="1"/>
    </row>
    <row r="4130" spans="20:21" x14ac:dyDescent="0.45">
      <c r="T4130" s="17"/>
      <c r="U4130" s="1"/>
    </row>
    <row r="4131" spans="20:21" x14ac:dyDescent="0.45">
      <c r="T4131" s="17"/>
      <c r="U4131" s="1"/>
    </row>
    <row r="4132" spans="20:21" x14ac:dyDescent="0.45">
      <c r="T4132" s="17"/>
      <c r="U4132" s="1"/>
    </row>
    <row r="4133" spans="20:21" x14ac:dyDescent="0.45">
      <c r="T4133" s="17"/>
      <c r="U4133" s="1"/>
    </row>
    <row r="4134" spans="20:21" x14ac:dyDescent="0.45">
      <c r="T4134" s="17"/>
      <c r="U4134" s="1"/>
    </row>
    <row r="4135" spans="20:21" x14ac:dyDescent="0.45">
      <c r="T4135" s="17"/>
      <c r="U4135" s="1"/>
    </row>
    <row r="4136" spans="20:21" x14ac:dyDescent="0.45">
      <c r="T4136" s="17"/>
      <c r="U4136" s="1"/>
    </row>
    <row r="4137" spans="20:21" x14ac:dyDescent="0.45">
      <c r="T4137" s="17"/>
      <c r="U4137" s="1"/>
    </row>
    <row r="4138" spans="20:21" x14ac:dyDescent="0.45">
      <c r="T4138" s="17"/>
      <c r="U4138" s="1"/>
    </row>
    <row r="4139" spans="20:21" x14ac:dyDescent="0.45">
      <c r="T4139" s="17"/>
      <c r="U4139" s="1"/>
    </row>
    <row r="4140" spans="20:21" x14ac:dyDescent="0.45">
      <c r="T4140" s="17"/>
      <c r="U4140" s="1"/>
    </row>
    <row r="4141" spans="20:21" x14ac:dyDescent="0.45">
      <c r="T4141" s="17"/>
      <c r="U4141" s="1"/>
    </row>
    <row r="4142" spans="20:21" x14ac:dyDescent="0.45">
      <c r="T4142" s="17"/>
      <c r="U4142" s="1"/>
    </row>
    <row r="4143" spans="20:21" x14ac:dyDescent="0.45">
      <c r="T4143" s="17"/>
      <c r="U4143" s="1"/>
    </row>
    <row r="4144" spans="20:21" x14ac:dyDescent="0.45">
      <c r="T4144" s="17"/>
      <c r="U4144" s="1"/>
    </row>
    <row r="4145" spans="20:21" x14ac:dyDescent="0.45">
      <c r="T4145" s="17"/>
      <c r="U4145" s="1"/>
    </row>
    <row r="4146" spans="20:21" x14ac:dyDescent="0.45">
      <c r="T4146" s="17"/>
      <c r="U4146" s="1"/>
    </row>
    <row r="4147" spans="20:21" x14ac:dyDescent="0.45">
      <c r="T4147" s="17"/>
      <c r="U4147" s="1"/>
    </row>
    <row r="4148" spans="20:21" x14ac:dyDescent="0.45">
      <c r="T4148" s="17"/>
      <c r="U4148" s="1"/>
    </row>
    <row r="4149" spans="20:21" x14ac:dyDescent="0.45">
      <c r="T4149" s="17"/>
      <c r="U4149" s="1"/>
    </row>
    <row r="4150" spans="20:21" x14ac:dyDescent="0.45">
      <c r="T4150" s="17"/>
      <c r="U4150" s="1"/>
    </row>
    <row r="4151" spans="20:21" x14ac:dyDescent="0.45">
      <c r="T4151" s="17"/>
      <c r="U4151" s="1"/>
    </row>
    <row r="4152" spans="20:21" x14ac:dyDescent="0.45">
      <c r="T4152" s="17"/>
      <c r="U4152" s="1"/>
    </row>
    <row r="4153" spans="20:21" x14ac:dyDescent="0.45">
      <c r="T4153" s="17"/>
      <c r="U4153" s="1"/>
    </row>
    <row r="4154" spans="20:21" x14ac:dyDescent="0.45">
      <c r="T4154" s="17"/>
      <c r="U4154" s="1"/>
    </row>
    <row r="4155" spans="20:21" x14ac:dyDescent="0.45">
      <c r="T4155" s="17"/>
      <c r="U4155" s="1"/>
    </row>
    <row r="4156" spans="20:21" x14ac:dyDescent="0.45">
      <c r="T4156" s="17"/>
      <c r="U4156" s="1"/>
    </row>
    <row r="4157" spans="20:21" x14ac:dyDescent="0.45">
      <c r="T4157" s="17"/>
      <c r="U4157" s="1"/>
    </row>
    <row r="4158" spans="20:21" x14ac:dyDescent="0.45">
      <c r="T4158" s="17"/>
      <c r="U4158" s="1"/>
    </row>
    <row r="4159" spans="20:21" x14ac:dyDescent="0.45">
      <c r="T4159" s="17"/>
      <c r="U4159" s="1"/>
    </row>
    <row r="4160" spans="20:21" x14ac:dyDescent="0.45">
      <c r="T4160" s="17"/>
      <c r="U4160" s="1"/>
    </row>
    <row r="4161" spans="20:21" x14ac:dyDescent="0.45">
      <c r="T4161" s="17"/>
      <c r="U4161" s="1"/>
    </row>
    <row r="4162" spans="20:21" x14ac:dyDescent="0.45">
      <c r="T4162" s="17"/>
      <c r="U4162" s="1"/>
    </row>
    <row r="4163" spans="20:21" x14ac:dyDescent="0.45">
      <c r="T4163" s="17"/>
      <c r="U4163" s="1"/>
    </row>
    <row r="4164" spans="20:21" x14ac:dyDescent="0.45">
      <c r="T4164" s="17"/>
      <c r="U4164" s="1"/>
    </row>
    <row r="4165" spans="20:21" x14ac:dyDescent="0.45">
      <c r="T4165" s="17"/>
      <c r="U4165" s="1"/>
    </row>
    <row r="4166" spans="20:21" x14ac:dyDescent="0.45">
      <c r="T4166" s="17"/>
      <c r="U4166" s="1"/>
    </row>
    <row r="4167" spans="20:21" x14ac:dyDescent="0.45">
      <c r="T4167" s="17"/>
      <c r="U4167" s="1"/>
    </row>
    <row r="4168" spans="20:21" x14ac:dyDescent="0.45">
      <c r="T4168" s="17"/>
      <c r="U4168" s="1"/>
    </row>
    <row r="4169" spans="20:21" x14ac:dyDescent="0.45">
      <c r="T4169" s="17"/>
      <c r="U4169" s="1"/>
    </row>
    <row r="4170" spans="20:21" x14ac:dyDescent="0.45">
      <c r="T4170" s="17"/>
      <c r="U4170" s="1"/>
    </row>
    <row r="4171" spans="20:21" x14ac:dyDescent="0.45">
      <c r="T4171" s="17"/>
      <c r="U4171" s="1"/>
    </row>
    <row r="4172" spans="20:21" x14ac:dyDescent="0.45">
      <c r="T4172" s="17"/>
      <c r="U4172" s="1"/>
    </row>
    <row r="4173" spans="20:21" x14ac:dyDescent="0.45">
      <c r="T4173" s="17"/>
      <c r="U4173" s="1"/>
    </row>
    <row r="4174" spans="20:21" x14ac:dyDescent="0.45">
      <c r="T4174" s="17"/>
      <c r="U4174" s="1"/>
    </row>
    <row r="4175" spans="20:21" x14ac:dyDescent="0.45">
      <c r="T4175" s="17"/>
      <c r="U4175" s="1"/>
    </row>
    <row r="4176" spans="20:21" x14ac:dyDescent="0.45">
      <c r="T4176" s="17"/>
      <c r="U4176" s="1"/>
    </row>
    <row r="4177" spans="20:21" x14ac:dyDescent="0.45">
      <c r="T4177" s="17"/>
      <c r="U4177" s="1"/>
    </row>
    <row r="4178" spans="20:21" x14ac:dyDescent="0.45">
      <c r="T4178" s="17"/>
      <c r="U4178" s="1"/>
    </row>
    <row r="4179" spans="20:21" x14ac:dyDescent="0.45">
      <c r="T4179" s="17"/>
      <c r="U4179" s="1"/>
    </row>
    <row r="4180" spans="20:21" x14ac:dyDescent="0.45">
      <c r="T4180" s="17"/>
      <c r="U4180" s="1"/>
    </row>
    <row r="4181" spans="20:21" x14ac:dyDescent="0.45">
      <c r="T4181" s="17"/>
      <c r="U4181" s="1"/>
    </row>
    <row r="4182" spans="20:21" x14ac:dyDescent="0.45">
      <c r="T4182" s="17"/>
      <c r="U4182" s="1"/>
    </row>
    <row r="4183" spans="20:21" x14ac:dyDescent="0.45">
      <c r="T4183" s="17"/>
      <c r="U4183" s="1"/>
    </row>
    <row r="4184" spans="20:21" x14ac:dyDescent="0.45">
      <c r="T4184" s="17"/>
      <c r="U4184" s="1"/>
    </row>
    <row r="4185" spans="20:21" x14ac:dyDescent="0.45">
      <c r="T4185" s="17"/>
      <c r="U4185" s="1"/>
    </row>
    <row r="4186" spans="20:21" x14ac:dyDescent="0.45">
      <c r="T4186" s="17"/>
      <c r="U4186" s="1"/>
    </row>
    <row r="4187" spans="20:21" x14ac:dyDescent="0.45">
      <c r="T4187" s="17"/>
      <c r="U4187" s="1"/>
    </row>
    <row r="4188" spans="20:21" x14ac:dyDescent="0.45">
      <c r="T4188" s="17"/>
      <c r="U4188" s="1"/>
    </row>
    <row r="4189" spans="20:21" x14ac:dyDescent="0.45">
      <c r="T4189" s="17"/>
      <c r="U4189" s="1"/>
    </row>
    <row r="4190" spans="20:21" x14ac:dyDescent="0.45">
      <c r="T4190" s="17"/>
      <c r="U4190" s="1"/>
    </row>
    <row r="4191" spans="20:21" x14ac:dyDescent="0.45">
      <c r="T4191" s="17"/>
      <c r="U4191" s="1"/>
    </row>
    <row r="4192" spans="20:21" x14ac:dyDescent="0.45">
      <c r="T4192" s="17"/>
      <c r="U4192" s="1"/>
    </row>
    <row r="4193" spans="20:21" x14ac:dyDescent="0.45">
      <c r="T4193" s="17"/>
      <c r="U4193" s="1"/>
    </row>
    <row r="4194" spans="20:21" x14ac:dyDescent="0.45">
      <c r="T4194" s="17"/>
      <c r="U4194" s="1"/>
    </row>
    <row r="4195" spans="20:21" x14ac:dyDescent="0.45">
      <c r="T4195" s="17"/>
      <c r="U4195" s="1"/>
    </row>
    <row r="4196" spans="20:21" x14ac:dyDescent="0.45">
      <c r="T4196" s="17"/>
      <c r="U4196" s="1"/>
    </row>
    <row r="4197" spans="20:21" x14ac:dyDescent="0.45">
      <c r="T4197" s="17"/>
      <c r="U4197" s="1"/>
    </row>
    <row r="4198" spans="20:21" x14ac:dyDescent="0.45">
      <c r="T4198" s="17"/>
      <c r="U4198" s="1"/>
    </row>
    <row r="4199" spans="20:21" x14ac:dyDescent="0.45">
      <c r="T4199" s="17"/>
      <c r="U4199" s="1"/>
    </row>
    <row r="4200" spans="20:21" x14ac:dyDescent="0.45">
      <c r="T4200" s="17"/>
      <c r="U4200" s="1"/>
    </row>
    <row r="4201" spans="20:21" x14ac:dyDescent="0.45">
      <c r="T4201" s="17"/>
      <c r="U4201" s="1"/>
    </row>
    <row r="4202" spans="20:21" x14ac:dyDescent="0.45">
      <c r="T4202" s="17"/>
      <c r="U4202" s="1"/>
    </row>
    <row r="4203" spans="20:21" x14ac:dyDescent="0.45">
      <c r="T4203" s="17"/>
      <c r="U4203" s="1"/>
    </row>
    <row r="4204" spans="20:21" x14ac:dyDescent="0.45">
      <c r="T4204" s="17"/>
      <c r="U4204" s="1"/>
    </row>
    <row r="4205" spans="20:21" x14ac:dyDescent="0.45">
      <c r="T4205" s="17"/>
      <c r="U4205" s="1"/>
    </row>
    <row r="4206" spans="20:21" x14ac:dyDescent="0.45">
      <c r="T4206" s="17"/>
      <c r="U4206" s="1"/>
    </row>
    <row r="4207" spans="20:21" x14ac:dyDescent="0.45">
      <c r="T4207" s="17"/>
      <c r="U4207" s="1"/>
    </row>
    <row r="4208" spans="20:21" x14ac:dyDescent="0.45">
      <c r="T4208" s="17"/>
      <c r="U4208" s="1"/>
    </row>
    <row r="4209" spans="20:21" x14ac:dyDescent="0.45">
      <c r="T4209" s="17"/>
      <c r="U4209" s="1"/>
    </row>
    <row r="4210" spans="20:21" x14ac:dyDescent="0.45">
      <c r="T4210" s="17"/>
      <c r="U4210" s="1"/>
    </row>
    <row r="4211" spans="20:21" x14ac:dyDescent="0.45">
      <c r="T4211" s="17"/>
      <c r="U4211" s="1"/>
    </row>
    <row r="4212" spans="20:21" x14ac:dyDescent="0.45">
      <c r="T4212" s="17"/>
      <c r="U4212" s="1"/>
    </row>
    <row r="4213" spans="20:21" x14ac:dyDescent="0.45">
      <c r="T4213" s="17"/>
      <c r="U4213" s="1"/>
    </row>
    <row r="4214" spans="20:21" x14ac:dyDescent="0.45">
      <c r="T4214" s="17"/>
      <c r="U4214" s="1"/>
    </row>
    <row r="4215" spans="20:21" x14ac:dyDescent="0.45">
      <c r="T4215" s="17"/>
      <c r="U4215" s="1"/>
    </row>
    <row r="4216" spans="20:21" x14ac:dyDescent="0.45">
      <c r="T4216" s="17"/>
      <c r="U4216" s="1"/>
    </row>
    <row r="4217" spans="20:21" x14ac:dyDescent="0.45">
      <c r="T4217" s="17"/>
      <c r="U4217" s="1"/>
    </row>
    <row r="4218" spans="20:21" x14ac:dyDescent="0.45">
      <c r="T4218" s="17"/>
      <c r="U4218" s="1"/>
    </row>
    <row r="4219" spans="20:21" x14ac:dyDescent="0.45">
      <c r="T4219" s="17"/>
      <c r="U4219" s="1"/>
    </row>
    <row r="4220" spans="20:21" x14ac:dyDescent="0.45">
      <c r="T4220" s="17"/>
      <c r="U4220" s="1"/>
    </row>
    <row r="4221" spans="20:21" x14ac:dyDescent="0.45">
      <c r="T4221" s="17"/>
      <c r="U4221" s="1"/>
    </row>
    <row r="4222" spans="20:21" x14ac:dyDescent="0.45">
      <c r="T4222" s="17"/>
      <c r="U4222" s="1"/>
    </row>
    <row r="4223" spans="20:21" x14ac:dyDescent="0.45">
      <c r="T4223" s="17"/>
      <c r="U4223" s="1"/>
    </row>
    <row r="4224" spans="20:21" x14ac:dyDescent="0.45">
      <c r="T4224" s="17"/>
      <c r="U4224" s="1"/>
    </row>
    <row r="4225" spans="20:21" x14ac:dyDescent="0.45">
      <c r="T4225" s="17"/>
      <c r="U4225" s="1"/>
    </row>
    <row r="4226" spans="20:21" x14ac:dyDescent="0.45">
      <c r="T4226" s="17"/>
      <c r="U4226" s="1"/>
    </row>
    <row r="4227" spans="20:21" x14ac:dyDescent="0.45">
      <c r="T4227" s="17"/>
      <c r="U4227" s="1"/>
    </row>
    <row r="4228" spans="20:21" x14ac:dyDescent="0.45">
      <c r="T4228" s="17"/>
      <c r="U4228" s="1"/>
    </row>
    <row r="4229" spans="20:21" x14ac:dyDescent="0.45">
      <c r="T4229" s="17"/>
      <c r="U4229" s="1"/>
    </row>
    <row r="4230" spans="20:21" x14ac:dyDescent="0.45">
      <c r="T4230" s="17"/>
      <c r="U4230" s="1"/>
    </row>
    <row r="4231" spans="20:21" x14ac:dyDescent="0.45">
      <c r="T4231" s="17"/>
      <c r="U4231" s="1"/>
    </row>
    <row r="4232" spans="20:21" x14ac:dyDescent="0.45">
      <c r="T4232" s="17"/>
      <c r="U4232" s="1"/>
    </row>
    <row r="4233" spans="20:21" x14ac:dyDescent="0.45">
      <c r="T4233" s="17"/>
      <c r="U4233" s="1"/>
    </row>
    <row r="4234" spans="20:21" x14ac:dyDescent="0.45">
      <c r="T4234" s="17"/>
      <c r="U4234" s="1"/>
    </row>
    <row r="4235" spans="20:21" x14ac:dyDescent="0.45">
      <c r="T4235" s="17"/>
      <c r="U4235" s="1"/>
    </row>
    <row r="4236" spans="20:21" x14ac:dyDescent="0.45">
      <c r="T4236" s="17"/>
      <c r="U4236" s="1"/>
    </row>
    <row r="4237" spans="20:21" x14ac:dyDescent="0.45">
      <c r="T4237" s="17"/>
      <c r="U4237" s="1"/>
    </row>
    <row r="4238" spans="20:21" x14ac:dyDescent="0.45">
      <c r="T4238" s="17"/>
      <c r="U4238" s="1"/>
    </row>
    <row r="4239" spans="20:21" x14ac:dyDescent="0.45">
      <c r="T4239" s="17"/>
      <c r="U4239" s="1"/>
    </row>
    <row r="4240" spans="20:21" x14ac:dyDescent="0.45">
      <c r="T4240" s="17"/>
      <c r="U4240" s="1"/>
    </row>
    <row r="4241" spans="20:21" x14ac:dyDescent="0.45">
      <c r="T4241" s="17"/>
      <c r="U4241" s="1"/>
    </row>
    <row r="4242" spans="20:21" x14ac:dyDescent="0.45">
      <c r="T4242" s="17"/>
      <c r="U4242" s="1"/>
    </row>
    <row r="4243" spans="20:21" x14ac:dyDescent="0.45">
      <c r="T4243" s="17"/>
      <c r="U4243" s="1"/>
    </row>
    <row r="4244" spans="20:21" x14ac:dyDescent="0.45">
      <c r="T4244" s="17"/>
      <c r="U4244" s="1"/>
    </row>
    <row r="4245" spans="20:21" x14ac:dyDescent="0.45">
      <c r="T4245" s="17"/>
      <c r="U4245" s="1"/>
    </row>
    <row r="4246" spans="20:21" x14ac:dyDescent="0.45">
      <c r="T4246" s="17"/>
      <c r="U4246" s="1"/>
    </row>
    <row r="4247" spans="20:21" x14ac:dyDescent="0.45">
      <c r="T4247" s="17"/>
      <c r="U4247" s="1"/>
    </row>
    <row r="4248" spans="20:21" x14ac:dyDescent="0.45">
      <c r="T4248" s="17"/>
      <c r="U4248" s="1"/>
    </row>
    <row r="4249" spans="20:21" x14ac:dyDescent="0.45">
      <c r="T4249" s="17"/>
      <c r="U4249" s="1"/>
    </row>
    <row r="4250" spans="20:21" x14ac:dyDescent="0.45">
      <c r="T4250" s="17"/>
      <c r="U4250" s="1"/>
    </row>
    <row r="4251" spans="20:21" x14ac:dyDescent="0.45">
      <c r="T4251" s="17"/>
      <c r="U4251" s="1"/>
    </row>
    <row r="4252" spans="20:21" x14ac:dyDescent="0.45">
      <c r="T4252" s="17"/>
      <c r="U4252" s="1"/>
    </row>
    <row r="4253" spans="20:21" x14ac:dyDescent="0.45">
      <c r="T4253" s="17"/>
      <c r="U4253" s="1"/>
    </row>
    <row r="4254" spans="20:21" x14ac:dyDescent="0.45">
      <c r="T4254" s="17"/>
      <c r="U4254" s="1"/>
    </row>
    <row r="4255" spans="20:21" x14ac:dyDescent="0.45">
      <c r="T4255" s="17"/>
      <c r="U4255" s="1"/>
    </row>
    <row r="4256" spans="20:21" x14ac:dyDescent="0.45">
      <c r="T4256" s="17"/>
      <c r="U4256" s="1"/>
    </row>
    <row r="4257" spans="20:21" x14ac:dyDescent="0.45">
      <c r="T4257" s="17"/>
      <c r="U4257" s="1"/>
    </row>
    <row r="4258" spans="20:21" x14ac:dyDescent="0.45">
      <c r="T4258" s="17"/>
      <c r="U4258" s="1"/>
    </row>
    <row r="4259" spans="20:21" x14ac:dyDescent="0.45">
      <c r="T4259" s="17"/>
      <c r="U4259" s="1"/>
    </row>
    <row r="4260" spans="20:21" x14ac:dyDescent="0.45">
      <c r="T4260" s="17"/>
      <c r="U4260" s="1"/>
    </row>
    <row r="4261" spans="20:21" x14ac:dyDescent="0.45">
      <c r="T4261" s="17"/>
      <c r="U4261" s="1"/>
    </row>
    <row r="4262" spans="20:21" x14ac:dyDescent="0.45">
      <c r="T4262" s="17"/>
      <c r="U4262" s="1"/>
    </row>
    <row r="4263" spans="20:21" x14ac:dyDescent="0.45">
      <c r="T4263" s="17"/>
      <c r="U4263" s="1"/>
    </row>
    <row r="4264" spans="20:21" x14ac:dyDescent="0.45">
      <c r="T4264" s="17"/>
      <c r="U4264" s="1"/>
    </row>
    <row r="4265" spans="20:21" x14ac:dyDescent="0.45">
      <c r="T4265" s="17"/>
      <c r="U4265" s="1"/>
    </row>
    <row r="4266" spans="20:21" x14ac:dyDescent="0.45">
      <c r="T4266" s="17"/>
      <c r="U4266" s="1"/>
    </row>
    <row r="4267" spans="20:21" x14ac:dyDescent="0.45">
      <c r="T4267" s="17"/>
      <c r="U4267" s="1"/>
    </row>
    <row r="4268" spans="20:21" x14ac:dyDescent="0.45">
      <c r="T4268" s="17"/>
      <c r="U4268" s="1"/>
    </row>
    <row r="4269" spans="20:21" x14ac:dyDescent="0.45">
      <c r="T4269" s="17"/>
      <c r="U4269" s="1"/>
    </row>
    <row r="4270" spans="20:21" x14ac:dyDescent="0.45">
      <c r="T4270" s="17"/>
      <c r="U4270" s="1"/>
    </row>
    <row r="4271" spans="20:21" x14ac:dyDescent="0.45">
      <c r="T4271" s="17"/>
      <c r="U4271" s="1"/>
    </row>
    <row r="4272" spans="20:21" x14ac:dyDescent="0.45">
      <c r="T4272" s="17"/>
      <c r="U4272" s="1"/>
    </row>
    <row r="4273" spans="20:21" x14ac:dyDescent="0.45">
      <c r="T4273" s="17"/>
      <c r="U4273" s="1"/>
    </row>
    <row r="4274" spans="20:21" x14ac:dyDescent="0.45">
      <c r="T4274" s="17"/>
      <c r="U4274" s="1"/>
    </row>
    <row r="4275" spans="20:21" x14ac:dyDescent="0.45">
      <c r="T4275" s="17"/>
      <c r="U4275" s="1"/>
    </row>
    <row r="4276" spans="20:21" x14ac:dyDescent="0.45">
      <c r="T4276" s="17"/>
      <c r="U4276" s="1"/>
    </row>
    <row r="4277" spans="20:21" x14ac:dyDescent="0.45">
      <c r="T4277" s="17"/>
      <c r="U4277" s="1"/>
    </row>
    <row r="4278" spans="20:21" x14ac:dyDescent="0.45">
      <c r="T4278" s="17"/>
      <c r="U4278" s="1"/>
    </row>
    <row r="4279" spans="20:21" x14ac:dyDescent="0.45">
      <c r="T4279" s="17"/>
      <c r="U4279" s="1"/>
    </row>
    <row r="4280" spans="20:21" x14ac:dyDescent="0.45">
      <c r="T4280" s="17"/>
      <c r="U4280" s="1"/>
    </row>
    <row r="4281" spans="20:21" x14ac:dyDescent="0.45">
      <c r="T4281" s="17"/>
      <c r="U4281" s="1"/>
    </row>
    <row r="4282" spans="20:21" x14ac:dyDescent="0.45">
      <c r="T4282" s="17"/>
      <c r="U4282" s="1"/>
    </row>
    <row r="4283" spans="20:21" x14ac:dyDescent="0.45">
      <c r="T4283" s="17"/>
      <c r="U4283" s="1"/>
    </row>
    <row r="4284" spans="20:21" x14ac:dyDescent="0.45">
      <c r="T4284" s="17"/>
      <c r="U4284" s="1"/>
    </row>
    <row r="4285" spans="20:21" x14ac:dyDescent="0.45">
      <c r="T4285" s="17"/>
      <c r="U4285" s="1"/>
    </row>
    <row r="4286" spans="20:21" x14ac:dyDescent="0.45">
      <c r="T4286" s="17"/>
      <c r="U4286" s="1"/>
    </row>
    <row r="4287" spans="20:21" x14ac:dyDescent="0.45">
      <c r="T4287" s="17"/>
      <c r="U4287" s="1"/>
    </row>
    <row r="4288" spans="20:21" x14ac:dyDescent="0.45">
      <c r="T4288" s="17"/>
      <c r="U4288" s="1"/>
    </row>
    <row r="4289" spans="20:21" x14ac:dyDescent="0.45">
      <c r="T4289" s="17"/>
      <c r="U4289" s="1"/>
    </row>
    <row r="4290" spans="20:21" x14ac:dyDescent="0.45">
      <c r="T4290" s="17"/>
      <c r="U4290" s="1"/>
    </row>
    <row r="4291" spans="20:21" x14ac:dyDescent="0.45">
      <c r="T4291" s="17"/>
      <c r="U4291" s="1"/>
    </row>
    <row r="4292" spans="20:21" x14ac:dyDescent="0.45">
      <c r="T4292" s="17"/>
      <c r="U4292" s="1"/>
    </row>
    <row r="4293" spans="20:21" x14ac:dyDescent="0.45">
      <c r="T4293" s="17"/>
      <c r="U4293" s="1"/>
    </row>
    <row r="4294" spans="20:21" x14ac:dyDescent="0.45">
      <c r="T4294" s="17"/>
      <c r="U4294" s="1"/>
    </row>
    <row r="4295" spans="20:21" x14ac:dyDescent="0.45">
      <c r="T4295" s="17"/>
      <c r="U4295" s="1"/>
    </row>
    <row r="4296" spans="20:21" x14ac:dyDescent="0.45">
      <c r="T4296" s="17"/>
      <c r="U4296" s="1"/>
    </row>
    <row r="4297" spans="20:21" x14ac:dyDescent="0.45">
      <c r="T4297" s="17"/>
      <c r="U4297" s="1"/>
    </row>
    <row r="4298" spans="20:21" x14ac:dyDescent="0.45">
      <c r="T4298" s="17"/>
      <c r="U4298" s="1"/>
    </row>
    <row r="4299" spans="20:21" x14ac:dyDescent="0.45">
      <c r="T4299" s="17"/>
      <c r="U4299" s="1"/>
    </row>
    <row r="4300" spans="20:21" x14ac:dyDescent="0.45">
      <c r="T4300" s="17"/>
      <c r="U4300" s="1"/>
    </row>
    <row r="4301" spans="20:21" x14ac:dyDescent="0.45">
      <c r="T4301" s="17"/>
      <c r="U4301" s="1"/>
    </row>
    <row r="4302" spans="20:21" x14ac:dyDescent="0.45">
      <c r="T4302" s="17"/>
      <c r="U4302" s="1"/>
    </row>
    <row r="4303" spans="20:21" x14ac:dyDescent="0.45">
      <c r="T4303" s="17"/>
      <c r="U4303" s="1"/>
    </row>
    <row r="4304" spans="20:21" x14ac:dyDescent="0.45">
      <c r="T4304" s="17"/>
      <c r="U4304" s="1"/>
    </row>
    <row r="4305" spans="20:21" x14ac:dyDescent="0.45">
      <c r="T4305" s="17"/>
      <c r="U4305" s="1"/>
    </row>
    <row r="4306" spans="20:21" x14ac:dyDescent="0.45">
      <c r="T4306" s="17"/>
      <c r="U4306" s="1"/>
    </row>
    <row r="4307" spans="20:21" x14ac:dyDescent="0.45">
      <c r="T4307" s="17"/>
      <c r="U4307" s="1"/>
    </row>
    <row r="4308" spans="20:21" x14ac:dyDescent="0.45">
      <c r="T4308" s="17"/>
      <c r="U4308" s="1"/>
    </row>
    <row r="4309" spans="20:21" x14ac:dyDescent="0.45">
      <c r="T4309" s="17"/>
      <c r="U4309" s="1"/>
    </row>
    <row r="4310" spans="20:21" x14ac:dyDescent="0.45">
      <c r="T4310" s="17"/>
      <c r="U4310" s="1"/>
    </row>
    <row r="4311" spans="20:21" x14ac:dyDescent="0.45">
      <c r="T4311" s="17"/>
      <c r="U4311" s="1"/>
    </row>
    <row r="4312" spans="20:21" x14ac:dyDescent="0.45">
      <c r="T4312" s="17"/>
      <c r="U4312" s="1"/>
    </row>
    <row r="4313" spans="20:21" x14ac:dyDescent="0.45">
      <c r="T4313" s="17"/>
      <c r="U4313" s="1"/>
    </row>
    <row r="4314" spans="20:21" x14ac:dyDescent="0.45">
      <c r="T4314" s="17"/>
      <c r="U4314" s="1"/>
    </row>
    <row r="4315" spans="20:21" x14ac:dyDescent="0.45">
      <c r="T4315" s="17"/>
      <c r="U4315" s="1"/>
    </row>
    <row r="4316" spans="20:21" x14ac:dyDescent="0.45">
      <c r="T4316" s="17"/>
      <c r="U4316" s="1"/>
    </row>
    <row r="4317" spans="20:21" x14ac:dyDescent="0.45">
      <c r="T4317" s="17"/>
      <c r="U4317" s="1"/>
    </row>
    <row r="4318" spans="20:21" x14ac:dyDescent="0.45">
      <c r="T4318" s="17"/>
      <c r="U4318" s="1"/>
    </row>
    <row r="4319" spans="20:21" x14ac:dyDescent="0.45">
      <c r="T4319" s="17"/>
      <c r="U4319" s="1"/>
    </row>
    <row r="4320" spans="20:21" x14ac:dyDescent="0.45">
      <c r="T4320" s="17"/>
      <c r="U4320" s="1"/>
    </row>
    <row r="4321" spans="20:21" x14ac:dyDescent="0.45">
      <c r="T4321" s="17"/>
      <c r="U4321" s="1"/>
    </row>
    <row r="4322" spans="20:21" x14ac:dyDescent="0.45">
      <c r="T4322" s="17"/>
      <c r="U4322" s="1"/>
    </row>
    <row r="4323" spans="20:21" x14ac:dyDescent="0.45">
      <c r="T4323" s="17"/>
      <c r="U4323" s="1"/>
    </row>
    <row r="4324" spans="20:21" x14ac:dyDescent="0.45">
      <c r="T4324" s="17"/>
      <c r="U4324" s="1"/>
    </row>
    <row r="4325" spans="20:21" x14ac:dyDescent="0.45">
      <c r="T4325" s="17"/>
      <c r="U4325" s="1"/>
    </row>
    <row r="4326" spans="20:21" x14ac:dyDescent="0.45">
      <c r="T4326" s="17"/>
      <c r="U4326" s="1"/>
    </row>
    <row r="4327" spans="20:21" x14ac:dyDescent="0.45">
      <c r="T4327" s="17"/>
      <c r="U4327" s="1"/>
    </row>
    <row r="4328" spans="20:21" x14ac:dyDescent="0.45">
      <c r="T4328" s="17"/>
      <c r="U4328" s="1"/>
    </row>
    <row r="4329" spans="20:21" x14ac:dyDescent="0.45">
      <c r="T4329" s="17"/>
      <c r="U4329" s="1"/>
    </row>
    <row r="4330" spans="20:21" x14ac:dyDescent="0.45">
      <c r="T4330" s="17"/>
      <c r="U4330" s="1"/>
    </row>
    <row r="4331" spans="20:21" x14ac:dyDescent="0.45">
      <c r="T4331" s="17"/>
      <c r="U4331" s="1"/>
    </row>
    <row r="4332" spans="20:21" x14ac:dyDescent="0.45">
      <c r="T4332" s="17"/>
      <c r="U4332" s="1"/>
    </row>
    <row r="4333" spans="20:21" x14ac:dyDescent="0.45">
      <c r="T4333" s="17"/>
      <c r="U4333" s="1"/>
    </row>
    <row r="4334" spans="20:21" x14ac:dyDescent="0.45">
      <c r="T4334" s="17"/>
      <c r="U4334" s="1"/>
    </row>
    <row r="4335" spans="20:21" x14ac:dyDescent="0.45">
      <c r="T4335" s="17"/>
      <c r="U4335" s="1"/>
    </row>
    <row r="4336" spans="20:21" x14ac:dyDescent="0.45">
      <c r="T4336" s="17"/>
      <c r="U4336" s="1"/>
    </row>
    <row r="4337" spans="20:21" x14ac:dyDescent="0.45">
      <c r="T4337" s="17"/>
      <c r="U4337" s="1"/>
    </row>
    <row r="4338" spans="20:21" x14ac:dyDescent="0.45">
      <c r="T4338" s="17"/>
      <c r="U4338" s="1"/>
    </row>
    <row r="4339" spans="20:21" x14ac:dyDescent="0.45">
      <c r="T4339" s="17"/>
      <c r="U4339" s="1"/>
    </row>
    <row r="4340" spans="20:21" x14ac:dyDescent="0.45">
      <c r="T4340" s="17"/>
      <c r="U4340" s="1"/>
    </row>
    <row r="4341" spans="20:21" x14ac:dyDescent="0.45">
      <c r="T4341" s="17"/>
      <c r="U4341" s="1"/>
    </row>
    <row r="4342" spans="20:21" x14ac:dyDescent="0.45">
      <c r="T4342" s="17"/>
      <c r="U4342" s="1"/>
    </row>
    <row r="4343" spans="20:21" x14ac:dyDescent="0.45">
      <c r="T4343" s="17"/>
      <c r="U4343" s="1"/>
    </row>
    <row r="4344" spans="20:21" x14ac:dyDescent="0.45">
      <c r="T4344" s="17"/>
      <c r="U4344" s="1"/>
    </row>
    <row r="4345" spans="20:21" x14ac:dyDescent="0.45">
      <c r="T4345" s="17"/>
      <c r="U4345" s="1"/>
    </row>
    <row r="4346" spans="20:21" x14ac:dyDescent="0.45">
      <c r="T4346" s="17"/>
      <c r="U4346" s="1"/>
    </row>
    <row r="4347" spans="20:21" x14ac:dyDescent="0.45">
      <c r="T4347" s="17"/>
      <c r="U4347" s="1"/>
    </row>
    <row r="4348" spans="20:21" x14ac:dyDescent="0.45">
      <c r="T4348" s="17"/>
      <c r="U4348" s="1"/>
    </row>
    <row r="4349" spans="20:21" x14ac:dyDescent="0.45">
      <c r="T4349" s="17"/>
      <c r="U4349" s="1"/>
    </row>
    <row r="4350" spans="20:21" x14ac:dyDescent="0.45">
      <c r="T4350" s="17"/>
      <c r="U4350" s="1"/>
    </row>
    <row r="4351" spans="20:21" x14ac:dyDescent="0.45">
      <c r="T4351" s="17"/>
      <c r="U4351" s="1"/>
    </row>
    <row r="4352" spans="20:21" x14ac:dyDescent="0.45">
      <c r="T4352" s="17"/>
      <c r="U4352" s="1"/>
    </row>
    <row r="4353" spans="20:21" x14ac:dyDescent="0.45">
      <c r="T4353" s="17"/>
      <c r="U4353" s="1"/>
    </row>
    <row r="4354" spans="20:21" x14ac:dyDescent="0.45">
      <c r="T4354" s="17"/>
      <c r="U4354" s="1"/>
    </row>
    <row r="4355" spans="20:21" x14ac:dyDescent="0.45">
      <c r="T4355" s="17"/>
      <c r="U4355" s="1"/>
    </row>
    <row r="4356" spans="20:21" x14ac:dyDescent="0.45">
      <c r="T4356" s="17"/>
      <c r="U4356" s="1"/>
    </row>
    <row r="4357" spans="20:21" x14ac:dyDescent="0.45">
      <c r="T4357" s="17"/>
      <c r="U4357" s="1"/>
    </row>
    <row r="4358" spans="20:21" x14ac:dyDescent="0.45">
      <c r="T4358" s="17"/>
      <c r="U4358" s="1"/>
    </row>
    <row r="4359" spans="20:21" x14ac:dyDescent="0.45">
      <c r="T4359" s="17"/>
      <c r="U4359" s="1"/>
    </row>
    <row r="4360" spans="20:21" x14ac:dyDescent="0.45">
      <c r="T4360" s="17"/>
      <c r="U4360" s="1"/>
    </row>
    <row r="4361" spans="20:21" x14ac:dyDescent="0.45">
      <c r="T4361" s="17"/>
      <c r="U4361" s="1"/>
    </row>
    <row r="4362" spans="20:21" x14ac:dyDescent="0.45">
      <c r="T4362" s="17"/>
      <c r="U4362" s="1"/>
    </row>
    <row r="4363" spans="20:21" x14ac:dyDescent="0.45">
      <c r="T4363" s="17"/>
      <c r="U4363" s="1"/>
    </row>
    <row r="4364" spans="20:21" x14ac:dyDescent="0.45">
      <c r="T4364" s="17"/>
      <c r="U4364" s="1"/>
    </row>
    <row r="4365" spans="20:21" x14ac:dyDescent="0.45">
      <c r="T4365" s="17"/>
      <c r="U4365" s="1"/>
    </row>
    <row r="4366" spans="20:21" x14ac:dyDescent="0.45">
      <c r="T4366" s="17"/>
      <c r="U4366" s="1"/>
    </row>
    <row r="4367" spans="20:21" x14ac:dyDescent="0.45">
      <c r="T4367" s="17"/>
      <c r="U4367" s="1"/>
    </row>
    <row r="4368" spans="20:21" x14ac:dyDescent="0.45">
      <c r="T4368" s="17"/>
      <c r="U4368" s="1"/>
    </row>
    <row r="4369" spans="20:21" x14ac:dyDescent="0.45">
      <c r="T4369" s="17"/>
      <c r="U4369" s="1"/>
    </row>
    <row r="4370" spans="20:21" x14ac:dyDescent="0.45">
      <c r="T4370" s="17"/>
      <c r="U4370" s="1"/>
    </row>
    <row r="4371" spans="20:21" x14ac:dyDescent="0.45">
      <c r="T4371" s="17"/>
      <c r="U4371" s="1"/>
    </row>
    <row r="4372" spans="20:21" x14ac:dyDescent="0.45">
      <c r="T4372" s="17"/>
      <c r="U4372" s="1"/>
    </row>
    <row r="4373" spans="20:21" x14ac:dyDescent="0.45">
      <c r="T4373" s="17"/>
      <c r="U4373" s="1"/>
    </row>
    <row r="4374" spans="20:21" x14ac:dyDescent="0.45">
      <c r="T4374" s="17"/>
      <c r="U4374" s="1"/>
    </row>
    <row r="4375" spans="20:21" x14ac:dyDescent="0.45">
      <c r="T4375" s="17"/>
      <c r="U4375" s="1"/>
    </row>
    <row r="4376" spans="20:21" x14ac:dyDescent="0.45">
      <c r="T4376" s="17"/>
      <c r="U4376" s="1"/>
    </row>
    <row r="4377" spans="20:21" x14ac:dyDescent="0.45">
      <c r="T4377" s="17"/>
      <c r="U4377" s="1"/>
    </row>
    <row r="4378" spans="20:21" x14ac:dyDescent="0.45">
      <c r="T4378" s="17"/>
      <c r="U4378" s="1"/>
    </row>
    <row r="4379" spans="20:21" x14ac:dyDescent="0.45">
      <c r="T4379" s="17"/>
      <c r="U4379" s="1"/>
    </row>
    <row r="4380" spans="20:21" x14ac:dyDescent="0.45">
      <c r="T4380" s="17"/>
      <c r="U4380" s="1"/>
    </row>
    <row r="4381" spans="20:21" x14ac:dyDescent="0.45">
      <c r="T4381" s="17"/>
      <c r="U4381" s="1"/>
    </row>
    <row r="4382" spans="20:21" x14ac:dyDescent="0.45">
      <c r="T4382" s="17"/>
      <c r="U4382" s="1"/>
    </row>
    <row r="4383" spans="20:21" x14ac:dyDescent="0.45">
      <c r="T4383" s="17"/>
      <c r="U4383" s="1"/>
    </row>
    <row r="4384" spans="20:21" x14ac:dyDescent="0.45">
      <c r="T4384" s="17"/>
      <c r="U4384" s="1"/>
    </row>
    <row r="4385" spans="20:21" x14ac:dyDescent="0.45">
      <c r="T4385" s="17"/>
      <c r="U4385" s="1"/>
    </row>
    <row r="4386" spans="20:21" x14ac:dyDescent="0.45">
      <c r="T4386" s="17"/>
      <c r="U4386" s="1"/>
    </row>
    <row r="4387" spans="20:21" x14ac:dyDescent="0.45">
      <c r="T4387" s="17"/>
      <c r="U4387" s="1"/>
    </row>
    <row r="4388" spans="20:21" x14ac:dyDescent="0.45">
      <c r="T4388" s="17"/>
      <c r="U4388" s="1"/>
    </row>
    <row r="4389" spans="20:21" x14ac:dyDescent="0.45">
      <c r="T4389" s="17"/>
      <c r="U4389" s="1"/>
    </row>
    <row r="4390" spans="20:21" x14ac:dyDescent="0.45">
      <c r="T4390" s="17"/>
      <c r="U4390" s="1"/>
    </row>
    <row r="4391" spans="20:21" x14ac:dyDescent="0.45">
      <c r="T4391" s="17"/>
      <c r="U4391" s="1"/>
    </row>
    <row r="4392" spans="20:21" x14ac:dyDescent="0.45">
      <c r="T4392" s="17"/>
      <c r="U4392" s="1"/>
    </row>
    <row r="4393" spans="20:21" x14ac:dyDescent="0.45">
      <c r="T4393" s="17"/>
      <c r="U4393" s="1"/>
    </row>
    <row r="4394" spans="20:21" x14ac:dyDescent="0.45">
      <c r="T4394" s="17"/>
      <c r="U4394" s="1"/>
    </row>
    <row r="4395" spans="20:21" x14ac:dyDescent="0.45">
      <c r="T4395" s="17"/>
      <c r="U4395" s="1"/>
    </row>
    <row r="4396" spans="20:21" x14ac:dyDescent="0.45">
      <c r="T4396" s="17"/>
      <c r="U4396" s="1"/>
    </row>
    <row r="4397" spans="20:21" x14ac:dyDescent="0.45">
      <c r="T4397" s="17"/>
      <c r="U4397" s="1"/>
    </row>
    <row r="4398" spans="20:21" x14ac:dyDescent="0.45">
      <c r="T4398" s="17"/>
      <c r="U4398" s="1"/>
    </row>
    <row r="4399" spans="20:21" x14ac:dyDescent="0.45">
      <c r="T4399" s="17"/>
      <c r="U4399" s="1"/>
    </row>
    <row r="4400" spans="20:21" x14ac:dyDescent="0.45">
      <c r="T4400" s="17"/>
      <c r="U4400" s="1"/>
    </row>
    <row r="4401" spans="20:21" x14ac:dyDescent="0.45">
      <c r="T4401" s="17"/>
      <c r="U4401" s="1"/>
    </row>
    <row r="4402" spans="20:21" x14ac:dyDescent="0.45">
      <c r="T4402" s="17"/>
      <c r="U4402" s="1"/>
    </row>
    <row r="4403" spans="20:21" x14ac:dyDescent="0.45">
      <c r="T4403" s="17"/>
      <c r="U4403" s="1"/>
    </row>
    <row r="4404" spans="20:21" x14ac:dyDescent="0.45">
      <c r="T4404" s="17"/>
      <c r="U4404" s="1"/>
    </row>
    <row r="4405" spans="20:21" x14ac:dyDescent="0.45">
      <c r="T4405" s="17"/>
      <c r="U4405" s="1"/>
    </row>
    <row r="4406" spans="20:21" x14ac:dyDescent="0.45">
      <c r="T4406" s="17"/>
      <c r="U4406" s="1"/>
    </row>
    <row r="4407" spans="20:21" x14ac:dyDescent="0.45">
      <c r="T4407" s="17"/>
      <c r="U4407" s="1"/>
    </row>
    <row r="4408" spans="20:21" x14ac:dyDescent="0.45">
      <c r="T4408" s="17"/>
      <c r="U4408" s="1"/>
    </row>
    <row r="4409" spans="20:21" x14ac:dyDescent="0.45">
      <c r="T4409" s="17"/>
      <c r="U4409" s="1"/>
    </row>
    <row r="4410" spans="20:21" x14ac:dyDescent="0.45">
      <c r="T4410" s="17"/>
      <c r="U4410" s="1"/>
    </row>
    <row r="4411" spans="20:21" x14ac:dyDescent="0.45">
      <c r="T4411" s="17"/>
      <c r="U4411" s="1"/>
    </row>
    <row r="4412" spans="20:21" x14ac:dyDescent="0.45">
      <c r="T4412" s="17"/>
      <c r="U4412" s="1"/>
    </row>
    <row r="4413" spans="20:21" x14ac:dyDescent="0.45">
      <c r="T4413" s="17"/>
      <c r="U4413" s="1"/>
    </row>
    <row r="4414" spans="20:21" x14ac:dyDescent="0.45">
      <c r="T4414" s="17"/>
      <c r="U4414" s="1"/>
    </row>
    <row r="4415" spans="20:21" x14ac:dyDescent="0.45">
      <c r="T4415" s="17"/>
      <c r="U4415" s="1"/>
    </row>
    <row r="4416" spans="20:21" x14ac:dyDescent="0.45">
      <c r="T4416" s="17"/>
      <c r="U4416" s="1"/>
    </row>
    <row r="4417" spans="20:21" x14ac:dyDescent="0.45">
      <c r="T4417" s="17"/>
      <c r="U4417" s="1"/>
    </row>
    <row r="4418" spans="20:21" x14ac:dyDescent="0.45">
      <c r="T4418" s="17"/>
      <c r="U4418" s="1"/>
    </row>
    <row r="4419" spans="20:21" x14ac:dyDescent="0.45">
      <c r="T4419" s="17"/>
      <c r="U4419" s="1"/>
    </row>
    <row r="4420" spans="20:21" x14ac:dyDescent="0.45">
      <c r="T4420" s="17"/>
      <c r="U4420" s="1"/>
    </row>
    <row r="4421" spans="20:21" x14ac:dyDescent="0.45">
      <c r="T4421" s="17"/>
      <c r="U4421" s="1"/>
    </row>
    <row r="4422" spans="20:21" x14ac:dyDescent="0.45">
      <c r="T4422" s="17"/>
      <c r="U4422" s="1"/>
    </row>
    <row r="4423" spans="20:21" x14ac:dyDescent="0.45">
      <c r="T4423" s="17"/>
      <c r="U4423" s="1"/>
    </row>
    <row r="4424" spans="20:21" x14ac:dyDescent="0.45">
      <c r="T4424" s="17"/>
      <c r="U4424" s="1"/>
    </row>
    <row r="4425" spans="20:21" x14ac:dyDescent="0.45">
      <c r="T4425" s="17"/>
      <c r="U4425" s="1"/>
    </row>
    <row r="4426" spans="20:21" x14ac:dyDescent="0.45">
      <c r="T4426" s="17"/>
      <c r="U4426" s="1"/>
    </row>
    <row r="4427" spans="20:21" x14ac:dyDescent="0.45">
      <c r="T4427" s="17"/>
      <c r="U4427" s="1"/>
    </row>
    <row r="4428" spans="20:21" x14ac:dyDescent="0.45">
      <c r="T4428" s="17"/>
      <c r="U4428" s="1"/>
    </row>
    <row r="4429" spans="20:21" x14ac:dyDescent="0.45">
      <c r="T4429" s="17"/>
      <c r="U4429" s="1"/>
    </row>
    <row r="4430" spans="20:21" x14ac:dyDescent="0.45">
      <c r="T4430" s="17"/>
      <c r="U4430" s="1"/>
    </row>
    <row r="4431" spans="20:21" x14ac:dyDescent="0.45">
      <c r="T4431" s="17"/>
      <c r="U4431" s="1"/>
    </row>
    <row r="4432" spans="20:21" x14ac:dyDescent="0.45">
      <c r="T4432" s="17"/>
      <c r="U4432" s="1"/>
    </row>
    <row r="4433" spans="20:21" x14ac:dyDescent="0.45">
      <c r="T4433" s="17"/>
      <c r="U4433" s="1"/>
    </row>
    <row r="4434" spans="20:21" x14ac:dyDescent="0.45">
      <c r="T4434" s="17"/>
      <c r="U4434" s="1"/>
    </row>
    <row r="4435" spans="20:21" x14ac:dyDescent="0.45">
      <c r="T4435" s="17"/>
      <c r="U4435" s="1"/>
    </row>
    <row r="4436" spans="20:21" x14ac:dyDescent="0.45">
      <c r="T4436" s="17"/>
      <c r="U4436" s="1"/>
    </row>
    <row r="4437" spans="20:21" x14ac:dyDescent="0.45">
      <c r="T4437" s="17"/>
      <c r="U4437" s="1"/>
    </row>
    <row r="4438" spans="20:21" x14ac:dyDescent="0.45">
      <c r="T4438" s="17"/>
      <c r="U4438" s="1"/>
    </row>
    <row r="4439" spans="20:21" x14ac:dyDescent="0.45">
      <c r="T4439" s="17"/>
      <c r="U4439" s="1"/>
    </row>
    <row r="4440" spans="20:21" x14ac:dyDescent="0.45">
      <c r="T4440" s="17"/>
      <c r="U4440" s="1"/>
    </row>
    <row r="4441" spans="20:21" x14ac:dyDescent="0.45">
      <c r="T4441" s="17"/>
      <c r="U4441" s="1"/>
    </row>
    <row r="4442" spans="20:21" x14ac:dyDescent="0.45">
      <c r="T4442" s="17"/>
      <c r="U4442" s="1"/>
    </row>
    <row r="4443" spans="20:21" x14ac:dyDescent="0.45">
      <c r="T4443" s="17"/>
      <c r="U4443" s="1"/>
    </row>
    <row r="4444" spans="20:21" x14ac:dyDescent="0.45">
      <c r="T4444" s="17"/>
      <c r="U4444" s="1"/>
    </row>
    <row r="4445" spans="20:21" x14ac:dyDescent="0.45">
      <c r="T4445" s="17"/>
      <c r="U4445" s="1"/>
    </row>
    <row r="4446" spans="20:21" x14ac:dyDescent="0.45">
      <c r="T4446" s="17"/>
      <c r="U4446" s="1"/>
    </row>
    <row r="4447" spans="20:21" x14ac:dyDescent="0.45">
      <c r="T4447" s="17"/>
      <c r="U4447" s="1"/>
    </row>
    <row r="4448" spans="20:21" x14ac:dyDescent="0.45">
      <c r="T4448" s="17"/>
      <c r="U4448" s="1"/>
    </row>
    <row r="4449" spans="20:21" x14ac:dyDescent="0.45">
      <c r="T4449" s="17"/>
      <c r="U4449" s="1"/>
    </row>
    <row r="4450" spans="20:21" x14ac:dyDescent="0.45">
      <c r="T4450" s="17"/>
      <c r="U4450" s="1"/>
    </row>
    <row r="4451" spans="20:21" x14ac:dyDescent="0.45">
      <c r="T4451" s="17"/>
      <c r="U4451" s="1"/>
    </row>
    <row r="4452" spans="20:21" x14ac:dyDescent="0.45">
      <c r="T4452" s="17"/>
      <c r="U4452" s="1"/>
    </row>
    <row r="4453" spans="20:21" x14ac:dyDescent="0.45">
      <c r="T4453" s="17"/>
      <c r="U4453" s="1"/>
    </row>
    <row r="4454" spans="20:21" x14ac:dyDescent="0.45">
      <c r="T4454" s="17"/>
      <c r="U4454" s="1"/>
    </row>
    <row r="4455" spans="20:21" x14ac:dyDescent="0.45">
      <c r="T4455" s="17"/>
      <c r="U4455" s="1"/>
    </row>
    <row r="4456" spans="20:21" x14ac:dyDescent="0.45">
      <c r="T4456" s="17"/>
      <c r="U4456" s="1"/>
    </row>
    <row r="4457" spans="20:21" x14ac:dyDescent="0.45">
      <c r="T4457" s="17"/>
      <c r="U4457" s="1"/>
    </row>
    <row r="4458" spans="20:21" x14ac:dyDescent="0.45">
      <c r="T4458" s="17"/>
      <c r="U4458" s="1"/>
    </row>
    <row r="4459" spans="20:21" x14ac:dyDescent="0.45">
      <c r="T4459" s="17"/>
      <c r="U4459" s="1"/>
    </row>
    <row r="4460" spans="20:21" x14ac:dyDescent="0.45">
      <c r="T4460" s="17"/>
      <c r="U4460" s="1"/>
    </row>
    <row r="4461" spans="20:21" x14ac:dyDescent="0.45">
      <c r="T4461" s="17"/>
      <c r="U4461" s="1"/>
    </row>
    <row r="4462" spans="20:21" x14ac:dyDescent="0.45">
      <c r="T4462" s="17"/>
      <c r="U4462" s="1"/>
    </row>
    <row r="4463" spans="20:21" x14ac:dyDescent="0.45">
      <c r="T4463" s="17"/>
      <c r="U4463" s="1"/>
    </row>
    <row r="4464" spans="20:21" x14ac:dyDescent="0.45">
      <c r="T4464" s="17"/>
      <c r="U4464" s="1"/>
    </row>
    <row r="4465" spans="20:21" x14ac:dyDescent="0.45">
      <c r="T4465" s="17"/>
      <c r="U4465" s="1"/>
    </row>
    <row r="4466" spans="20:21" x14ac:dyDescent="0.45">
      <c r="T4466" s="17"/>
      <c r="U4466" s="1"/>
    </row>
    <row r="4467" spans="20:21" x14ac:dyDescent="0.45">
      <c r="T4467" s="17"/>
      <c r="U4467" s="1"/>
    </row>
    <row r="4468" spans="20:21" x14ac:dyDescent="0.45">
      <c r="T4468" s="17"/>
      <c r="U4468" s="1"/>
    </row>
    <row r="4469" spans="20:21" x14ac:dyDescent="0.45">
      <c r="T4469" s="17"/>
      <c r="U4469" s="1"/>
    </row>
    <row r="4470" spans="20:21" x14ac:dyDescent="0.45">
      <c r="T4470" s="17"/>
      <c r="U4470" s="1"/>
    </row>
    <row r="4471" spans="20:21" x14ac:dyDescent="0.45">
      <c r="T4471" s="17"/>
      <c r="U4471" s="1"/>
    </row>
    <row r="4472" spans="20:21" x14ac:dyDescent="0.45">
      <c r="T4472" s="17"/>
      <c r="U4472" s="1"/>
    </row>
    <row r="4473" spans="20:21" x14ac:dyDescent="0.45">
      <c r="T4473" s="17"/>
      <c r="U4473" s="1"/>
    </row>
    <row r="4474" spans="20:21" x14ac:dyDescent="0.45">
      <c r="T4474" s="17"/>
      <c r="U4474" s="1"/>
    </row>
    <row r="4475" spans="20:21" x14ac:dyDescent="0.45">
      <c r="T4475" s="17"/>
      <c r="U4475" s="1"/>
    </row>
    <row r="4476" spans="20:21" x14ac:dyDescent="0.45">
      <c r="T4476" s="17"/>
      <c r="U4476" s="1"/>
    </row>
    <row r="4477" spans="20:21" x14ac:dyDescent="0.45">
      <c r="T4477" s="17"/>
      <c r="U4477" s="1"/>
    </row>
    <row r="4478" spans="20:21" x14ac:dyDescent="0.45">
      <c r="T4478" s="17"/>
      <c r="U4478" s="1"/>
    </row>
    <row r="4479" spans="20:21" x14ac:dyDescent="0.45">
      <c r="T4479" s="17"/>
      <c r="U4479" s="1"/>
    </row>
    <row r="4480" spans="20:21" x14ac:dyDescent="0.45">
      <c r="T4480" s="17"/>
      <c r="U4480" s="1"/>
    </row>
    <row r="4481" spans="20:21" x14ac:dyDescent="0.45">
      <c r="T4481" s="17"/>
      <c r="U4481" s="1"/>
    </row>
    <row r="4482" spans="20:21" x14ac:dyDescent="0.45">
      <c r="T4482" s="17"/>
      <c r="U4482" s="1"/>
    </row>
    <row r="4483" spans="20:21" x14ac:dyDescent="0.45">
      <c r="T4483" s="17"/>
      <c r="U4483" s="1"/>
    </row>
    <row r="4484" spans="20:21" x14ac:dyDescent="0.45">
      <c r="T4484" s="17"/>
      <c r="U4484" s="1"/>
    </row>
    <row r="4485" spans="20:21" x14ac:dyDescent="0.45">
      <c r="T4485" s="17"/>
      <c r="U4485" s="1"/>
    </row>
    <row r="4486" spans="20:21" x14ac:dyDescent="0.45">
      <c r="T4486" s="17"/>
      <c r="U4486" s="1"/>
    </row>
    <row r="4487" spans="20:21" x14ac:dyDescent="0.45">
      <c r="T4487" s="17"/>
      <c r="U4487" s="1"/>
    </row>
    <row r="4488" spans="20:21" x14ac:dyDescent="0.45">
      <c r="T4488" s="17"/>
      <c r="U4488" s="1"/>
    </row>
    <row r="4489" spans="20:21" x14ac:dyDescent="0.45">
      <c r="T4489" s="17"/>
      <c r="U4489" s="1"/>
    </row>
    <row r="4490" spans="20:21" x14ac:dyDescent="0.45">
      <c r="T4490" s="17"/>
      <c r="U4490" s="1"/>
    </row>
    <row r="4491" spans="20:21" x14ac:dyDescent="0.45">
      <c r="T4491" s="17"/>
      <c r="U4491" s="1"/>
    </row>
    <row r="4492" spans="20:21" x14ac:dyDescent="0.45">
      <c r="T4492" s="17"/>
      <c r="U4492" s="1"/>
    </row>
    <row r="4493" spans="20:21" x14ac:dyDescent="0.45">
      <c r="T4493" s="17"/>
      <c r="U4493" s="1"/>
    </row>
    <row r="4494" spans="20:21" x14ac:dyDescent="0.45">
      <c r="T4494" s="17"/>
      <c r="U4494" s="1"/>
    </row>
    <row r="4495" spans="20:21" x14ac:dyDescent="0.45">
      <c r="T4495" s="17"/>
      <c r="U4495" s="1"/>
    </row>
    <row r="4496" spans="20:21" x14ac:dyDescent="0.45">
      <c r="T4496" s="17"/>
      <c r="U4496" s="1"/>
    </row>
    <row r="4497" spans="20:21" x14ac:dyDescent="0.45">
      <c r="T4497" s="17"/>
      <c r="U4497" s="1"/>
    </row>
    <row r="4498" spans="20:21" x14ac:dyDescent="0.45">
      <c r="T4498" s="17"/>
      <c r="U4498" s="1"/>
    </row>
    <row r="4499" spans="20:21" x14ac:dyDescent="0.45">
      <c r="T4499" s="17"/>
      <c r="U4499" s="1"/>
    </row>
    <row r="4500" spans="20:21" x14ac:dyDescent="0.45">
      <c r="T4500" s="17"/>
      <c r="U4500" s="1"/>
    </row>
    <row r="4501" spans="20:21" x14ac:dyDescent="0.45">
      <c r="T4501" s="17"/>
      <c r="U4501" s="1"/>
    </row>
    <row r="4502" spans="20:21" x14ac:dyDescent="0.45">
      <c r="T4502" s="17"/>
      <c r="U4502" s="1"/>
    </row>
    <row r="4503" spans="20:21" x14ac:dyDescent="0.45">
      <c r="T4503" s="17"/>
      <c r="U4503" s="1"/>
    </row>
    <row r="4504" spans="20:21" x14ac:dyDescent="0.45">
      <c r="T4504" s="17"/>
      <c r="U4504" s="1"/>
    </row>
    <row r="4505" spans="20:21" x14ac:dyDescent="0.45">
      <c r="T4505" s="17"/>
      <c r="U4505" s="1"/>
    </row>
    <row r="4506" spans="20:21" x14ac:dyDescent="0.45">
      <c r="T4506" s="17"/>
      <c r="U4506" s="1"/>
    </row>
    <row r="4507" spans="20:21" x14ac:dyDescent="0.45">
      <c r="T4507" s="17"/>
      <c r="U4507" s="1"/>
    </row>
    <row r="4508" spans="20:21" x14ac:dyDescent="0.45">
      <c r="T4508" s="17"/>
      <c r="U4508" s="1"/>
    </row>
    <row r="4509" spans="20:21" x14ac:dyDescent="0.45">
      <c r="T4509" s="17"/>
      <c r="U4509" s="1"/>
    </row>
    <row r="4510" spans="20:21" x14ac:dyDescent="0.45">
      <c r="T4510" s="17"/>
      <c r="U4510" s="1"/>
    </row>
    <row r="4511" spans="20:21" x14ac:dyDescent="0.45">
      <c r="T4511" s="17"/>
      <c r="U4511" s="1"/>
    </row>
    <row r="4512" spans="20:21" x14ac:dyDescent="0.45">
      <c r="T4512" s="17"/>
      <c r="U4512" s="1"/>
    </row>
    <row r="4513" spans="20:21" x14ac:dyDescent="0.45">
      <c r="T4513" s="17"/>
      <c r="U4513" s="1"/>
    </row>
    <row r="4514" spans="20:21" x14ac:dyDescent="0.45">
      <c r="T4514" s="17"/>
      <c r="U4514" s="1"/>
    </row>
    <row r="4515" spans="20:21" x14ac:dyDescent="0.45">
      <c r="T4515" s="17"/>
      <c r="U4515" s="1"/>
    </row>
    <row r="4516" spans="20:21" x14ac:dyDescent="0.45">
      <c r="T4516" s="17"/>
      <c r="U4516" s="1"/>
    </row>
    <row r="4517" spans="20:21" x14ac:dyDescent="0.45">
      <c r="T4517" s="17"/>
      <c r="U4517" s="1"/>
    </row>
    <row r="4518" spans="20:21" x14ac:dyDescent="0.45">
      <c r="T4518" s="17"/>
      <c r="U4518" s="1"/>
    </row>
    <row r="4519" spans="20:21" x14ac:dyDescent="0.45">
      <c r="T4519" s="17"/>
      <c r="U4519" s="1"/>
    </row>
    <row r="4520" spans="20:21" x14ac:dyDescent="0.45">
      <c r="T4520" s="17"/>
      <c r="U4520" s="1"/>
    </row>
    <row r="4521" spans="20:21" x14ac:dyDescent="0.45">
      <c r="T4521" s="17"/>
      <c r="U4521" s="1"/>
    </row>
    <row r="4522" spans="20:21" x14ac:dyDescent="0.45">
      <c r="T4522" s="17"/>
      <c r="U4522" s="1"/>
    </row>
    <row r="4523" spans="20:21" x14ac:dyDescent="0.45">
      <c r="T4523" s="17"/>
      <c r="U4523" s="1"/>
    </row>
    <row r="4524" spans="20:21" x14ac:dyDescent="0.45">
      <c r="T4524" s="17"/>
      <c r="U4524" s="1"/>
    </row>
    <row r="4525" spans="20:21" x14ac:dyDescent="0.45">
      <c r="T4525" s="17"/>
      <c r="U4525" s="1"/>
    </row>
    <row r="4526" spans="20:21" x14ac:dyDescent="0.45">
      <c r="T4526" s="17"/>
      <c r="U4526" s="1"/>
    </row>
    <row r="4527" spans="20:21" x14ac:dyDescent="0.45">
      <c r="T4527" s="17"/>
      <c r="U4527" s="1"/>
    </row>
    <row r="4528" spans="20:21" x14ac:dyDescent="0.45">
      <c r="T4528" s="17"/>
      <c r="U4528" s="1"/>
    </row>
    <row r="4529" spans="20:21" x14ac:dyDescent="0.45">
      <c r="T4529" s="17"/>
      <c r="U4529" s="1"/>
    </row>
    <row r="4530" spans="20:21" x14ac:dyDescent="0.45">
      <c r="T4530" s="17"/>
      <c r="U4530" s="1"/>
    </row>
    <row r="4531" spans="20:21" x14ac:dyDescent="0.45">
      <c r="T4531" s="17"/>
      <c r="U4531" s="1"/>
    </row>
    <row r="4532" spans="20:21" x14ac:dyDescent="0.45">
      <c r="T4532" s="17"/>
      <c r="U4532" s="1"/>
    </row>
    <row r="4533" spans="20:21" x14ac:dyDescent="0.45">
      <c r="T4533" s="17"/>
      <c r="U4533" s="1"/>
    </row>
    <row r="4534" spans="20:21" x14ac:dyDescent="0.45">
      <c r="T4534" s="17"/>
      <c r="U4534" s="1"/>
    </row>
    <row r="4535" spans="20:21" x14ac:dyDescent="0.45">
      <c r="T4535" s="17"/>
      <c r="U4535" s="1"/>
    </row>
    <row r="4536" spans="20:21" x14ac:dyDescent="0.45">
      <c r="T4536" s="17"/>
      <c r="U4536" s="1"/>
    </row>
    <row r="4537" spans="20:21" x14ac:dyDescent="0.45">
      <c r="T4537" s="17"/>
      <c r="U4537" s="1"/>
    </row>
    <row r="4538" spans="20:21" x14ac:dyDescent="0.45">
      <c r="T4538" s="17"/>
      <c r="U4538" s="1"/>
    </row>
    <row r="4539" spans="20:21" x14ac:dyDescent="0.45">
      <c r="T4539" s="17"/>
      <c r="U4539" s="1"/>
    </row>
    <row r="4540" spans="20:21" x14ac:dyDescent="0.45">
      <c r="T4540" s="17"/>
      <c r="U4540" s="1"/>
    </row>
    <row r="4541" spans="20:21" x14ac:dyDescent="0.45">
      <c r="T4541" s="17"/>
      <c r="U4541" s="1"/>
    </row>
    <row r="4542" spans="20:21" x14ac:dyDescent="0.45">
      <c r="T4542" s="17"/>
      <c r="U4542" s="1"/>
    </row>
    <row r="4543" spans="20:21" x14ac:dyDescent="0.45">
      <c r="T4543" s="17"/>
      <c r="U4543" s="1"/>
    </row>
    <row r="4544" spans="20:21" x14ac:dyDescent="0.45">
      <c r="T4544" s="17"/>
      <c r="U4544" s="1"/>
    </row>
    <row r="4545" spans="20:21" x14ac:dyDescent="0.45">
      <c r="T4545" s="17"/>
      <c r="U4545" s="1"/>
    </row>
    <row r="4546" spans="20:21" x14ac:dyDescent="0.45">
      <c r="T4546" s="17"/>
      <c r="U4546" s="1"/>
    </row>
    <row r="4547" spans="20:21" x14ac:dyDescent="0.45">
      <c r="T4547" s="17"/>
      <c r="U4547" s="1"/>
    </row>
    <row r="4548" spans="20:21" x14ac:dyDescent="0.45">
      <c r="T4548" s="17"/>
      <c r="U4548" s="1"/>
    </row>
    <row r="4549" spans="20:21" x14ac:dyDescent="0.45">
      <c r="T4549" s="17"/>
      <c r="U4549" s="1"/>
    </row>
    <row r="4550" spans="20:21" x14ac:dyDescent="0.45">
      <c r="T4550" s="17"/>
      <c r="U4550" s="1"/>
    </row>
    <row r="4551" spans="20:21" x14ac:dyDescent="0.45">
      <c r="T4551" s="17"/>
      <c r="U4551" s="1"/>
    </row>
    <row r="4552" spans="20:21" x14ac:dyDescent="0.45">
      <c r="T4552" s="17"/>
      <c r="U4552" s="1"/>
    </row>
    <row r="4553" spans="20:21" x14ac:dyDescent="0.45">
      <c r="T4553" s="17"/>
      <c r="U4553" s="1"/>
    </row>
    <row r="4554" spans="20:21" x14ac:dyDescent="0.45">
      <c r="T4554" s="17"/>
      <c r="U4554" s="1"/>
    </row>
    <row r="4555" spans="20:21" x14ac:dyDescent="0.45">
      <c r="T4555" s="17"/>
      <c r="U4555" s="1"/>
    </row>
    <row r="4556" spans="20:21" x14ac:dyDescent="0.45">
      <c r="T4556" s="17"/>
      <c r="U4556" s="1"/>
    </row>
    <row r="4557" spans="20:21" x14ac:dyDescent="0.45">
      <c r="T4557" s="17"/>
      <c r="U4557" s="1"/>
    </row>
    <row r="4558" spans="20:21" x14ac:dyDescent="0.45">
      <c r="T4558" s="17"/>
      <c r="U4558" s="1"/>
    </row>
    <row r="4559" spans="20:21" x14ac:dyDescent="0.45">
      <c r="T4559" s="17"/>
      <c r="U4559" s="1"/>
    </row>
    <row r="4560" spans="20:21" x14ac:dyDescent="0.45">
      <c r="T4560" s="17"/>
      <c r="U4560" s="1"/>
    </row>
    <row r="4561" spans="20:21" x14ac:dyDescent="0.45">
      <c r="T4561" s="17"/>
      <c r="U4561" s="1"/>
    </row>
    <row r="4562" spans="20:21" x14ac:dyDescent="0.45">
      <c r="T4562" s="17"/>
      <c r="U4562" s="1"/>
    </row>
    <row r="4563" spans="20:21" x14ac:dyDescent="0.45">
      <c r="T4563" s="17"/>
      <c r="U4563" s="1"/>
    </row>
    <row r="4564" spans="20:21" x14ac:dyDescent="0.45">
      <c r="T4564" s="17"/>
      <c r="U4564" s="1"/>
    </row>
    <row r="4565" spans="20:21" x14ac:dyDescent="0.45">
      <c r="T4565" s="17"/>
      <c r="U4565" s="1"/>
    </row>
    <row r="4566" spans="20:21" x14ac:dyDescent="0.45">
      <c r="T4566" s="17"/>
      <c r="U4566" s="1"/>
    </row>
    <row r="4567" spans="20:21" x14ac:dyDescent="0.45">
      <c r="T4567" s="17"/>
      <c r="U4567" s="1"/>
    </row>
    <row r="4568" spans="20:21" x14ac:dyDescent="0.45">
      <c r="T4568" s="17"/>
      <c r="U4568" s="1"/>
    </row>
    <row r="4569" spans="20:21" x14ac:dyDescent="0.45">
      <c r="T4569" s="17"/>
      <c r="U4569" s="1"/>
    </row>
    <row r="4570" spans="20:21" x14ac:dyDescent="0.45">
      <c r="T4570" s="17"/>
      <c r="U4570" s="1"/>
    </row>
    <row r="4571" spans="20:21" x14ac:dyDescent="0.45">
      <c r="T4571" s="17"/>
      <c r="U4571" s="1"/>
    </row>
    <row r="4572" spans="20:21" x14ac:dyDescent="0.45">
      <c r="T4572" s="17"/>
      <c r="U4572" s="1"/>
    </row>
    <row r="4573" spans="20:21" x14ac:dyDescent="0.45">
      <c r="T4573" s="17"/>
      <c r="U4573" s="1"/>
    </row>
    <row r="4574" spans="20:21" x14ac:dyDescent="0.45">
      <c r="T4574" s="17"/>
      <c r="U4574" s="1"/>
    </row>
    <row r="4575" spans="20:21" x14ac:dyDescent="0.45">
      <c r="T4575" s="17"/>
      <c r="U4575" s="1"/>
    </row>
    <row r="4576" spans="20:21" x14ac:dyDescent="0.45">
      <c r="T4576" s="17"/>
      <c r="U4576" s="1"/>
    </row>
    <row r="4577" spans="20:21" x14ac:dyDescent="0.45">
      <c r="T4577" s="17"/>
      <c r="U4577" s="1"/>
    </row>
    <row r="4578" spans="20:21" x14ac:dyDescent="0.45">
      <c r="T4578" s="17"/>
      <c r="U4578" s="1"/>
    </row>
    <row r="4579" spans="20:21" x14ac:dyDescent="0.45">
      <c r="T4579" s="17"/>
      <c r="U4579" s="1"/>
    </row>
    <row r="4580" spans="20:21" x14ac:dyDescent="0.45">
      <c r="T4580" s="17"/>
      <c r="U4580" s="1"/>
    </row>
    <row r="4581" spans="20:21" x14ac:dyDescent="0.45">
      <c r="T4581" s="17"/>
      <c r="U4581" s="1"/>
    </row>
    <row r="4582" spans="20:21" x14ac:dyDescent="0.45">
      <c r="T4582" s="17"/>
      <c r="U4582" s="1"/>
    </row>
    <row r="4583" spans="20:21" x14ac:dyDescent="0.45">
      <c r="T4583" s="17"/>
      <c r="U4583" s="1"/>
    </row>
    <row r="4584" spans="20:21" x14ac:dyDescent="0.45">
      <c r="T4584" s="17"/>
      <c r="U4584" s="1"/>
    </row>
    <row r="4585" spans="20:21" x14ac:dyDescent="0.45">
      <c r="T4585" s="17"/>
      <c r="U4585" s="1"/>
    </row>
    <row r="4586" spans="20:21" x14ac:dyDescent="0.45">
      <c r="T4586" s="17"/>
      <c r="U4586" s="1"/>
    </row>
    <row r="4587" spans="20:21" x14ac:dyDescent="0.45">
      <c r="T4587" s="17"/>
      <c r="U4587" s="1"/>
    </row>
    <row r="4588" spans="20:21" x14ac:dyDescent="0.45">
      <c r="T4588" s="17"/>
      <c r="U4588" s="1"/>
    </row>
    <row r="4589" spans="20:21" x14ac:dyDescent="0.45">
      <c r="T4589" s="17"/>
      <c r="U4589" s="1"/>
    </row>
    <row r="4590" spans="20:21" x14ac:dyDescent="0.45">
      <c r="T4590" s="17"/>
      <c r="U4590" s="1"/>
    </row>
    <row r="4591" spans="20:21" x14ac:dyDescent="0.45">
      <c r="T4591" s="17"/>
      <c r="U4591" s="1"/>
    </row>
    <row r="4592" spans="20:21" x14ac:dyDescent="0.45">
      <c r="T4592" s="17"/>
      <c r="U4592" s="1"/>
    </row>
    <row r="4593" spans="20:21" x14ac:dyDescent="0.45">
      <c r="T4593" s="17"/>
      <c r="U4593" s="1"/>
    </row>
    <row r="4594" spans="20:21" x14ac:dyDescent="0.45">
      <c r="T4594" s="17"/>
      <c r="U4594" s="1"/>
    </row>
    <row r="4595" spans="20:21" x14ac:dyDescent="0.45">
      <c r="T4595" s="17"/>
      <c r="U4595" s="1"/>
    </row>
    <row r="4596" spans="20:21" x14ac:dyDescent="0.45">
      <c r="T4596" s="17"/>
      <c r="U4596" s="1"/>
    </row>
    <row r="4597" spans="20:21" x14ac:dyDescent="0.45">
      <c r="T4597" s="17"/>
      <c r="U4597" s="1"/>
    </row>
    <row r="4598" spans="20:21" x14ac:dyDescent="0.45">
      <c r="T4598" s="17"/>
      <c r="U4598" s="1"/>
    </row>
    <row r="4599" spans="20:21" x14ac:dyDescent="0.45">
      <c r="T4599" s="17"/>
      <c r="U4599" s="1"/>
    </row>
    <row r="4600" spans="20:21" x14ac:dyDescent="0.45">
      <c r="T4600" s="17"/>
      <c r="U4600" s="1"/>
    </row>
    <row r="4601" spans="20:21" x14ac:dyDescent="0.45">
      <c r="T4601" s="17"/>
      <c r="U4601" s="1"/>
    </row>
    <row r="4602" spans="20:21" x14ac:dyDescent="0.45">
      <c r="T4602" s="17"/>
      <c r="U4602" s="1"/>
    </row>
    <row r="4603" spans="20:21" x14ac:dyDescent="0.45">
      <c r="T4603" s="17"/>
      <c r="U4603" s="1"/>
    </row>
    <row r="4604" spans="20:21" x14ac:dyDescent="0.45">
      <c r="T4604" s="17"/>
      <c r="U4604" s="1"/>
    </row>
    <row r="4605" spans="20:21" x14ac:dyDescent="0.45">
      <c r="T4605" s="17"/>
      <c r="U4605" s="1"/>
    </row>
    <row r="4606" spans="20:21" x14ac:dyDescent="0.45">
      <c r="T4606" s="17"/>
      <c r="U4606" s="1"/>
    </row>
    <row r="4607" spans="20:21" x14ac:dyDescent="0.45">
      <c r="T4607" s="17"/>
      <c r="U4607" s="1"/>
    </row>
    <row r="4608" spans="20:21" x14ac:dyDescent="0.45">
      <c r="T4608" s="17"/>
      <c r="U4608" s="1"/>
    </row>
    <row r="4609" spans="20:21" x14ac:dyDescent="0.45">
      <c r="T4609" s="17"/>
      <c r="U4609" s="1"/>
    </row>
    <row r="4610" spans="20:21" x14ac:dyDescent="0.45">
      <c r="T4610" s="17"/>
      <c r="U4610" s="1"/>
    </row>
    <row r="4611" spans="20:21" x14ac:dyDescent="0.45">
      <c r="T4611" s="17"/>
      <c r="U4611" s="1"/>
    </row>
    <row r="4612" spans="20:21" x14ac:dyDescent="0.45">
      <c r="T4612" s="17"/>
      <c r="U4612" s="1"/>
    </row>
    <row r="4613" spans="20:21" x14ac:dyDescent="0.45">
      <c r="T4613" s="17"/>
      <c r="U4613" s="1"/>
    </row>
    <row r="4614" spans="20:21" x14ac:dyDescent="0.45">
      <c r="T4614" s="17"/>
      <c r="U4614" s="1"/>
    </row>
    <row r="4615" spans="20:21" x14ac:dyDescent="0.45">
      <c r="T4615" s="17"/>
      <c r="U4615" s="1"/>
    </row>
    <row r="4616" spans="20:21" x14ac:dyDescent="0.45">
      <c r="T4616" s="17"/>
      <c r="U4616" s="1"/>
    </row>
    <row r="4617" spans="20:21" x14ac:dyDescent="0.45">
      <c r="T4617" s="17"/>
      <c r="U4617" s="1"/>
    </row>
    <row r="4618" spans="20:21" x14ac:dyDescent="0.45">
      <c r="T4618" s="17"/>
      <c r="U4618" s="1"/>
    </row>
    <row r="4619" spans="20:21" x14ac:dyDescent="0.45">
      <c r="T4619" s="17"/>
      <c r="U4619" s="1"/>
    </row>
    <row r="4620" spans="20:21" x14ac:dyDescent="0.45">
      <c r="T4620" s="17"/>
      <c r="U4620" s="1"/>
    </row>
    <row r="4621" spans="20:21" x14ac:dyDescent="0.45">
      <c r="T4621" s="17"/>
      <c r="U4621" s="1"/>
    </row>
    <row r="4622" spans="20:21" x14ac:dyDescent="0.45">
      <c r="T4622" s="17"/>
      <c r="U4622" s="1"/>
    </row>
    <row r="4623" spans="20:21" x14ac:dyDescent="0.45">
      <c r="T4623" s="17"/>
      <c r="U4623" s="1"/>
    </row>
    <row r="4624" spans="20:21" x14ac:dyDescent="0.45">
      <c r="T4624" s="17"/>
      <c r="U4624" s="1"/>
    </row>
    <row r="4625" spans="20:21" x14ac:dyDescent="0.45">
      <c r="T4625" s="17"/>
      <c r="U4625" s="1"/>
    </row>
    <row r="4626" spans="20:21" x14ac:dyDescent="0.45">
      <c r="T4626" s="17"/>
      <c r="U4626" s="1"/>
    </row>
    <row r="4627" spans="20:21" x14ac:dyDescent="0.45">
      <c r="T4627" s="17"/>
      <c r="U4627" s="1"/>
    </row>
    <row r="4628" spans="20:21" x14ac:dyDescent="0.45">
      <c r="T4628" s="17"/>
      <c r="U4628" s="1"/>
    </row>
    <row r="4629" spans="20:21" x14ac:dyDescent="0.45">
      <c r="T4629" s="17"/>
      <c r="U4629" s="1"/>
    </row>
    <row r="4630" spans="20:21" x14ac:dyDescent="0.45">
      <c r="T4630" s="17"/>
      <c r="U4630" s="1"/>
    </row>
    <row r="4631" spans="20:21" x14ac:dyDescent="0.45">
      <c r="T4631" s="17"/>
      <c r="U4631" s="1"/>
    </row>
    <row r="4632" spans="20:21" x14ac:dyDescent="0.45">
      <c r="T4632" s="17"/>
      <c r="U4632" s="1"/>
    </row>
    <row r="4633" spans="20:21" x14ac:dyDescent="0.45">
      <c r="T4633" s="17"/>
      <c r="U4633" s="1"/>
    </row>
    <row r="4634" spans="20:21" x14ac:dyDescent="0.45">
      <c r="T4634" s="17"/>
      <c r="U4634" s="1"/>
    </row>
    <row r="4635" spans="20:21" x14ac:dyDescent="0.45">
      <c r="T4635" s="17"/>
      <c r="U4635" s="1"/>
    </row>
    <row r="4636" spans="20:21" x14ac:dyDescent="0.45">
      <c r="T4636" s="17"/>
      <c r="U4636" s="1"/>
    </row>
    <row r="4637" spans="20:21" x14ac:dyDescent="0.45">
      <c r="T4637" s="17"/>
      <c r="U4637" s="1"/>
    </row>
    <row r="4638" spans="20:21" x14ac:dyDescent="0.45">
      <c r="T4638" s="17"/>
      <c r="U4638" s="1"/>
    </row>
    <row r="4639" spans="20:21" x14ac:dyDescent="0.45">
      <c r="T4639" s="17"/>
      <c r="U4639" s="1"/>
    </row>
    <row r="4640" spans="20:21" x14ac:dyDescent="0.45">
      <c r="T4640" s="17"/>
      <c r="U4640" s="1"/>
    </row>
    <row r="4641" spans="20:21" x14ac:dyDescent="0.45">
      <c r="T4641" s="17"/>
      <c r="U4641" s="1"/>
    </row>
    <row r="4642" spans="20:21" x14ac:dyDescent="0.45">
      <c r="T4642" s="17"/>
      <c r="U4642" s="1"/>
    </row>
    <row r="4643" spans="20:21" x14ac:dyDescent="0.45">
      <c r="T4643" s="17"/>
      <c r="U4643" s="1"/>
    </row>
    <row r="4644" spans="20:21" x14ac:dyDescent="0.45">
      <c r="T4644" s="17"/>
      <c r="U4644" s="1"/>
    </row>
    <row r="4645" spans="20:21" x14ac:dyDescent="0.45">
      <c r="T4645" s="17"/>
      <c r="U4645" s="1"/>
    </row>
    <row r="4646" spans="20:21" x14ac:dyDescent="0.45">
      <c r="T4646" s="17"/>
      <c r="U4646" s="1"/>
    </row>
    <row r="4647" spans="20:21" x14ac:dyDescent="0.45">
      <c r="T4647" s="17"/>
      <c r="U4647" s="1"/>
    </row>
    <row r="4648" spans="20:21" x14ac:dyDescent="0.45">
      <c r="T4648" s="17"/>
      <c r="U4648" s="1"/>
    </row>
    <row r="4649" spans="20:21" x14ac:dyDescent="0.45">
      <c r="T4649" s="17"/>
      <c r="U4649" s="1"/>
    </row>
    <row r="4650" spans="20:21" x14ac:dyDescent="0.45">
      <c r="T4650" s="17"/>
      <c r="U4650" s="1"/>
    </row>
    <row r="4651" spans="20:21" x14ac:dyDescent="0.45">
      <c r="T4651" s="17"/>
      <c r="U4651" s="1"/>
    </row>
    <row r="4652" spans="20:21" x14ac:dyDescent="0.45">
      <c r="T4652" s="17"/>
      <c r="U4652" s="1"/>
    </row>
    <row r="4653" spans="20:21" x14ac:dyDescent="0.45">
      <c r="T4653" s="17"/>
      <c r="U4653" s="1"/>
    </row>
    <row r="4654" spans="20:21" x14ac:dyDescent="0.45">
      <c r="T4654" s="17"/>
      <c r="U4654" s="1"/>
    </row>
    <row r="4655" spans="20:21" x14ac:dyDescent="0.45">
      <c r="T4655" s="17"/>
      <c r="U4655" s="1"/>
    </row>
    <row r="4656" spans="20:21" x14ac:dyDescent="0.45">
      <c r="T4656" s="17"/>
      <c r="U4656" s="1"/>
    </row>
    <row r="4657" spans="20:21" x14ac:dyDescent="0.45">
      <c r="T4657" s="17"/>
      <c r="U4657" s="1"/>
    </row>
    <row r="4658" spans="20:21" x14ac:dyDescent="0.45">
      <c r="T4658" s="17"/>
      <c r="U4658" s="1"/>
    </row>
    <row r="4659" spans="20:21" x14ac:dyDescent="0.45">
      <c r="T4659" s="17"/>
      <c r="U4659" s="1"/>
    </row>
    <row r="4660" spans="20:21" x14ac:dyDescent="0.45">
      <c r="T4660" s="17"/>
      <c r="U4660" s="1"/>
    </row>
    <row r="4661" spans="20:21" x14ac:dyDescent="0.45">
      <c r="T4661" s="17"/>
      <c r="U4661" s="1"/>
    </row>
    <row r="4662" spans="20:21" x14ac:dyDescent="0.45">
      <c r="T4662" s="17"/>
      <c r="U4662" s="1"/>
    </row>
    <row r="4663" spans="20:21" x14ac:dyDescent="0.45">
      <c r="T4663" s="17"/>
      <c r="U4663" s="1"/>
    </row>
    <row r="4664" spans="20:21" x14ac:dyDescent="0.45">
      <c r="T4664" s="17"/>
      <c r="U4664" s="1"/>
    </row>
    <row r="4665" spans="20:21" x14ac:dyDescent="0.45">
      <c r="T4665" s="17"/>
      <c r="U4665" s="1"/>
    </row>
    <row r="4666" spans="20:21" x14ac:dyDescent="0.45">
      <c r="T4666" s="17"/>
      <c r="U4666" s="1"/>
    </row>
    <row r="4667" spans="20:21" x14ac:dyDescent="0.45">
      <c r="T4667" s="17"/>
      <c r="U4667" s="1"/>
    </row>
    <row r="4668" spans="20:21" x14ac:dyDescent="0.45">
      <c r="T4668" s="17"/>
      <c r="U4668" s="1"/>
    </row>
    <row r="4669" spans="20:21" x14ac:dyDescent="0.45">
      <c r="T4669" s="17"/>
      <c r="U4669" s="1"/>
    </row>
    <row r="4670" spans="20:21" x14ac:dyDescent="0.45">
      <c r="T4670" s="17"/>
      <c r="U4670" s="1"/>
    </row>
    <row r="4671" spans="20:21" x14ac:dyDescent="0.45">
      <c r="T4671" s="17"/>
      <c r="U4671" s="1"/>
    </row>
    <row r="4672" spans="20:21" x14ac:dyDescent="0.45">
      <c r="T4672" s="17"/>
      <c r="U4672" s="1"/>
    </row>
    <row r="4673" spans="20:21" x14ac:dyDescent="0.45">
      <c r="T4673" s="17"/>
      <c r="U4673" s="1"/>
    </row>
    <row r="4674" spans="20:21" x14ac:dyDescent="0.45">
      <c r="T4674" s="17"/>
      <c r="U4674" s="1"/>
    </row>
    <row r="4675" spans="20:21" x14ac:dyDescent="0.45">
      <c r="T4675" s="17"/>
      <c r="U4675" s="1"/>
    </row>
    <row r="4676" spans="20:21" x14ac:dyDescent="0.45">
      <c r="T4676" s="17"/>
      <c r="U4676" s="1"/>
    </row>
    <row r="4677" spans="20:21" x14ac:dyDescent="0.45">
      <c r="T4677" s="17"/>
      <c r="U4677" s="1"/>
    </row>
    <row r="4678" spans="20:21" x14ac:dyDescent="0.45">
      <c r="T4678" s="17"/>
      <c r="U4678" s="1"/>
    </row>
    <row r="4679" spans="20:21" x14ac:dyDescent="0.45">
      <c r="T4679" s="17"/>
      <c r="U4679" s="1"/>
    </row>
    <row r="4680" spans="20:21" x14ac:dyDescent="0.45">
      <c r="T4680" s="17"/>
      <c r="U4680" s="1"/>
    </row>
    <row r="4681" spans="20:21" x14ac:dyDescent="0.45">
      <c r="T4681" s="17"/>
      <c r="U4681" s="1"/>
    </row>
    <row r="4682" spans="20:21" x14ac:dyDescent="0.45">
      <c r="T4682" s="17"/>
      <c r="U4682" s="1"/>
    </row>
    <row r="4683" spans="20:21" x14ac:dyDescent="0.45">
      <c r="T4683" s="17"/>
      <c r="U4683" s="1"/>
    </row>
    <row r="4684" spans="20:21" x14ac:dyDescent="0.45">
      <c r="T4684" s="17"/>
      <c r="U4684" s="1"/>
    </row>
    <row r="4685" spans="20:21" x14ac:dyDescent="0.45">
      <c r="T4685" s="17"/>
      <c r="U4685" s="1"/>
    </row>
    <row r="4686" spans="20:21" x14ac:dyDescent="0.45">
      <c r="T4686" s="17"/>
      <c r="U4686" s="1"/>
    </row>
    <row r="4687" spans="20:21" x14ac:dyDescent="0.45">
      <c r="T4687" s="17"/>
      <c r="U4687" s="1"/>
    </row>
    <row r="4688" spans="20:21" x14ac:dyDescent="0.45">
      <c r="T4688" s="17"/>
      <c r="U4688" s="1"/>
    </row>
    <row r="4689" spans="20:21" x14ac:dyDescent="0.45">
      <c r="T4689" s="17"/>
      <c r="U4689" s="1"/>
    </row>
    <row r="4690" spans="20:21" x14ac:dyDescent="0.45">
      <c r="T4690" s="17"/>
      <c r="U4690" s="1"/>
    </row>
    <row r="4691" spans="20:21" x14ac:dyDescent="0.45">
      <c r="T4691" s="17"/>
      <c r="U4691" s="1"/>
    </row>
    <row r="4692" spans="20:21" x14ac:dyDescent="0.45">
      <c r="T4692" s="17"/>
      <c r="U4692" s="1"/>
    </row>
    <row r="4693" spans="20:21" x14ac:dyDescent="0.45">
      <c r="T4693" s="17"/>
      <c r="U4693" s="1"/>
    </row>
    <row r="4694" spans="20:21" x14ac:dyDescent="0.45">
      <c r="T4694" s="17"/>
      <c r="U4694" s="1"/>
    </row>
    <row r="4695" spans="20:21" x14ac:dyDescent="0.45">
      <c r="T4695" s="17"/>
      <c r="U4695" s="1"/>
    </row>
    <row r="4696" spans="20:21" x14ac:dyDescent="0.45">
      <c r="T4696" s="17"/>
      <c r="U4696" s="1"/>
    </row>
    <row r="4697" spans="20:21" x14ac:dyDescent="0.45">
      <c r="T4697" s="17"/>
      <c r="U4697" s="1"/>
    </row>
    <row r="4698" spans="20:21" x14ac:dyDescent="0.45">
      <c r="T4698" s="17"/>
      <c r="U4698" s="1"/>
    </row>
    <row r="4699" spans="20:21" x14ac:dyDescent="0.45">
      <c r="T4699" s="17"/>
      <c r="U4699" s="1"/>
    </row>
    <row r="4700" spans="20:21" x14ac:dyDescent="0.45">
      <c r="T4700" s="17"/>
      <c r="U4700" s="1"/>
    </row>
    <row r="4701" spans="20:21" x14ac:dyDescent="0.45">
      <c r="T4701" s="17"/>
      <c r="U4701" s="1"/>
    </row>
    <row r="4702" spans="20:21" x14ac:dyDescent="0.45">
      <c r="T4702" s="17"/>
      <c r="U4702" s="1"/>
    </row>
    <row r="4703" spans="20:21" x14ac:dyDescent="0.45">
      <c r="T4703" s="17"/>
      <c r="U4703" s="1"/>
    </row>
    <row r="4704" spans="20:21" x14ac:dyDescent="0.45">
      <c r="T4704" s="17"/>
      <c r="U4704" s="1"/>
    </row>
    <row r="4705" spans="20:21" x14ac:dyDescent="0.45">
      <c r="T4705" s="17"/>
      <c r="U4705" s="1"/>
    </row>
    <row r="4706" spans="20:21" x14ac:dyDescent="0.45">
      <c r="T4706" s="17"/>
      <c r="U4706" s="1"/>
    </row>
    <row r="4707" spans="20:21" x14ac:dyDescent="0.45">
      <c r="T4707" s="17"/>
      <c r="U4707" s="1"/>
    </row>
    <row r="4708" spans="20:21" x14ac:dyDescent="0.45">
      <c r="T4708" s="17"/>
      <c r="U4708" s="1"/>
    </row>
    <row r="4709" spans="20:21" x14ac:dyDescent="0.45">
      <c r="T4709" s="17"/>
      <c r="U4709" s="1"/>
    </row>
    <row r="4710" spans="20:21" x14ac:dyDescent="0.45">
      <c r="T4710" s="17"/>
      <c r="U4710" s="1"/>
    </row>
    <row r="4711" spans="20:21" x14ac:dyDescent="0.45">
      <c r="T4711" s="17"/>
      <c r="U4711" s="1"/>
    </row>
    <row r="4712" spans="20:21" x14ac:dyDescent="0.45">
      <c r="T4712" s="17"/>
      <c r="U4712" s="1"/>
    </row>
    <row r="4713" spans="20:21" x14ac:dyDescent="0.45">
      <c r="T4713" s="17"/>
      <c r="U4713" s="1"/>
    </row>
    <row r="4714" spans="20:21" x14ac:dyDescent="0.45">
      <c r="T4714" s="17"/>
      <c r="U4714" s="1"/>
    </row>
    <row r="4715" spans="20:21" x14ac:dyDescent="0.45">
      <c r="T4715" s="17"/>
      <c r="U4715" s="1"/>
    </row>
    <row r="4716" spans="20:21" x14ac:dyDescent="0.45">
      <c r="T4716" s="17"/>
      <c r="U4716" s="1"/>
    </row>
    <row r="4717" spans="20:21" x14ac:dyDescent="0.45">
      <c r="T4717" s="17"/>
      <c r="U4717" s="1"/>
    </row>
    <row r="4718" spans="20:21" x14ac:dyDescent="0.45">
      <c r="T4718" s="17"/>
      <c r="U4718" s="1"/>
    </row>
    <row r="4719" spans="20:21" x14ac:dyDescent="0.45">
      <c r="T4719" s="17"/>
      <c r="U4719" s="1"/>
    </row>
    <row r="4720" spans="20:21" x14ac:dyDescent="0.45">
      <c r="T4720" s="17"/>
      <c r="U4720" s="1"/>
    </row>
    <row r="4721" spans="20:21" x14ac:dyDescent="0.45">
      <c r="T4721" s="17"/>
      <c r="U4721" s="1"/>
    </row>
    <row r="4722" spans="20:21" x14ac:dyDescent="0.45">
      <c r="T4722" s="17"/>
      <c r="U4722" s="1"/>
    </row>
    <row r="4723" spans="20:21" x14ac:dyDescent="0.45">
      <c r="T4723" s="17"/>
      <c r="U4723" s="1"/>
    </row>
    <row r="4724" spans="20:21" x14ac:dyDescent="0.45">
      <c r="T4724" s="17"/>
      <c r="U4724" s="1"/>
    </row>
    <row r="4725" spans="20:21" x14ac:dyDescent="0.45">
      <c r="T4725" s="17"/>
      <c r="U4725" s="1"/>
    </row>
    <row r="4726" spans="20:21" x14ac:dyDescent="0.45">
      <c r="T4726" s="17"/>
      <c r="U4726" s="1"/>
    </row>
    <row r="4727" spans="20:21" x14ac:dyDescent="0.45">
      <c r="T4727" s="17"/>
      <c r="U4727" s="1"/>
    </row>
    <row r="4728" spans="20:21" x14ac:dyDescent="0.45">
      <c r="T4728" s="17"/>
      <c r="U4728" s="1"/>
    </row>
    <row r="4729" spans="20:21" x14ac:dyDescent="0.45">
      <c r="T4729" s="17"/>
      <c r="U4729" s="1"/>
    </row>
    <row r="4730" spans="20:21" x14ac:dyDescent="0.45">
      <c r="T4730" s="17"/>
      <c r="U4730" s="1"/>
    </row>
    <row r="4731" spans="20:21" x14ac:dyDescent="0.45">
      <c r="T4731" s="17"/>
      <c r="U4731" s="1"/>
    </row>
    <row r="4732" spans="20:21" x14ac:dyDescent="0.45">
      <c r="T4732" s="17"/>
      <c r="U4732" s="1"/>
    </row>
    <row r="4733" spans="20:21" x14ac:dyDescent="0.45">
      <c r="T4733" s="17"/>
      <c r="U4733" s="1"/>
    </row>
    <row r="4734" spans="20:21" x14ac:dyDescent="0.45">
      <c r="T4734" s="17"/>
      <c r="U4734" s="1"/>
    </row>
    <row r="4735" spans="20:21" x14ac:dyDescent="0.45">
      <c r="T4735" s="17"/>
      <c r="U4735" s="1"/>
    </row>
    <row r="4736" spans="20:21" x14ac:dyDescent="0.45">
      <c r="T4736" s="17"/>
      <c r="U4736" s="1"/>
    </row>
    <row r="4737" spans="20:21" x14ac:dyDescent="0.45">
      <c r="T4737" s="17"/>
      <c r="U4737" s="1"/>
    </row>
    <row r="4738" spans="20:21" x14ac:dyDescent="0.45">
      <c r="T4738" s="17"/>
      <c r="U4738" s="1"/>
    </row>
    <row r="4739" spans="20:21" x14ac:dyDescent="0.45">
      <c r="T4739" s="17"/>
      <c r="U4739" s="1"/>
    </row>
    <row r="4740" spans="20:21" x14ac:dyDescent="0.45">
      <c r="T4740" s="17"/>
      <c r="U4740" s="1"/>
    </row>
    <row r="4741" spans="20:21" x14ac:dyDescent="0.45">
      <c r="T4741" s="17"/>
      <c r="U4741" s="1"/>
    </row>
    <row r="4742" spans="20:21" x14ac:dyDescent="0.45">
      <c r="T4742" s="17"/>
      <c r="U4742" s="1"/>
    </row>
    <row r="4743" spans="20:21" x14ac:dyDescent="0.45">
      <c r="T4743" s="17"/>
      <c r="U4743" s="1"/>
    </row>
    <row r="4744" spans="20:21" x14ac:dyDescent="0.45">
      <c r="T4744" s="17"/>
      <c r="U4744" s="1"/>
    </row>
    <row r="4745" spans="20:21" x14ac:dyDescent="0.45">
      <c r="T4745" s="17"/>
      <c r="U4745" s="1"/>
    </row>
    <row r="4746" spans="20:21" x14ac:dyDescent="0.45">
      <c r="T4746" s="17"/>
      <c r="U4746" s="1"/>
    </row>
    <row r="4747" spans="20:21" x14ac:dyDescent="0.45">
      <c r="T4747" s="17"/>
      <c r="U4747" s="1"/>
    </row>
    <row r="4748" spans="20:21" x14ac:dyDescent="0.45">
      <c r="T4748" s="17"/>
      <c r="U4748" s="1"/>
    </row>
    <row r="4749" spans="20:21" x14ac:dyDescent="0.45">
      <c r="T4749" s="17"/>
      <c r="U4749" s="1"/>
    </row>
    <row r="4750" spans="20:21" x14ac:dyDescent="0.45">
      <c r="T4750" s="17"/>
      <c r="U4750" s="1"/>
    </row>
    <row r="4751" spans="20:21" x14ac:dyDescent="0.45">
      <c r="T4751" s="17"/>
      <c r="U4751" s="1"/>
    </row>
    <row r="4752" spans="20:21" x14ac:dyDescent="0.45">
      <c r="T4752" s="17"/>
      <c r="U4752" s="1"/>
    </row>
    <row r="4753" spans="20:21" x14ac:dyDescent="0.45">
      <c r="T4753" s="17"/>
      <c r="U4753" s="1"/>
    </row>
    <row r="4754" spans="20:21" x14ac:dyDescent="0.45">
      <c r="T4754" s="17"/>
      <c r="U4754" s="1"/>
    </row>
    <row r="4755" spans="20:21" x14ac:dyDescent="0.45">
      <c r="T4755" s="17"/>
      <c r="U4755" s="1"/>
    </row>
    <row r="4756" spans="20:21" x14ac:dyDescent="0.45">
      <c r="T4756" s="17"/>
      <c r="U4756" s="1"/>
    </row>
    <row r="4757" spans="20:21" x14ac:dyDescent="0.45">
      <c r="T4757" s="17"/>
      <c r="U4757" s="1"/>
    </row>
    <row r="4758" spans="20:21" x14ac:dyDescent="0.45">
      <c r="T4758" s="17"/>
      <c r="U4758" s="1"/>
    </row>
    <row r="4759" spans="20:21" x14ac:dyDescent="0.45">
      <c r="T4759" s="17"/>
      <c r="U4759" s="1"/>
    </row>
    <row r="4760" spans="20:21" x14ac:dyDescent="0.45">
      <c r="T4760" s="17"/>
      <c r="U4760" s="1"/>
    </row>
    <row r="4761" spans="20:21" x14ac:dyDescent="0.45">
      <c r="T4761" s="17"/>
      <c r="U4761" s="1"/>
    </row>
    <row r="4762" spans="20:21" x14ac:dyDescent="0.45">
      <c r="T4762" s="17"/>
      <c r="U4762" s="1"/>
    </row>
    <row r="4763" spans="20:21" x14ac:dyDescent="0.45">
      <c r="T4763" s="17"/>
      <c r="U4763" s="1"/>
    </row>
    <row r="4764" spans="20:21" x14ac:dyDescent="0.45">
      <c r="T4764" s="17"/>
      <c r="U4764" s="1"/>
    </row>
    <row r="4765" spans="20:21" x14ac:dyDescent="0.45">
      <c r="T4765" s="17"/>
      <c r="U4765" s="1"/>
    </row>
    <row r="4766" spans="20:21" x14ac:dyDescent="0.45">
      <c r="T4766" s="17"/>
      <c r="U4766" s="1"/>
    </row>
    <row r="4767" spans="20:21" x14ac:dyDescent="0.45">
      <c r="T4767" s="17"/>
      <c r="U4767" s="1"/>
    </row>
    <row r="4768" spans="20:21" x14ac:dyDescent="0.45">
      <c r="T4768" s="17"/>
      <c r="U4768" s="1"/>
    </row>
    <row r="4769" spans="20:21" x14ac:dyDescent="0.45">
      <c r="T4769" s="17"/>
      <c r="U4769" s="1"/>
    </row>
    <row r="4770" spans="20:21" x14ac:dyDescent="0.45">
      <c r="T4770" s="17"/>
      <c r="U4770" s="1"/>
    </row>
    <row r="4771" spans="20:21" x14ac:dyDescent="0.45">
      <c r="T4771" s="17"/>
      <c r="U4771" s="1"/>
    </row>
    <row r="4772" spans="20:21" x14ac:dyDescent="0.45">
      <c r="T4772" s="17"/>
      <c r="U4772" s="1"/>
    </row>
    <row r="4773" spans="20:21" x14ac:dyDescent="0.45">
      <c r="T4773" s="17"/>
      <c r="U4773" s="1"/>
    </row>
    <row r="4774" spans="20:21" x14ac:dyDescent="0.45">
      <c r="T4774" s="17"/>
      <c r="U4774" s="1"/>
    </row>
    <row r="4775" spans="20:21" x14ac:dyDescent="0.45">
      <c r="T4775" s="17"/>
      <c r="U4775" s="1"/>
    </row>
    <row r="4776" spans="20:21" x14ac:dyDescent="0.45">
      <c r="T4776" s="17"/>
      <c r="U4776" s="1"/>
    </row>
    <row r="4777" spans="20:21" x14ac:dyDescent="0.45">
      <c r="T4777" s="17"/>
      <c r="U4777" s="1"/>
    </row>
    <row r="4778" spans="20:21" x14ac:dyDescent="0.45">
      <c r="T4778" s="17"/>
      <c r="U4778" s="1"/>
    </row>
    <row r="4779" spans="20:21" x14ac:dyDescent="0.45">
      <c r="T4779" s="17"/>
      <c r="U4779" s="1"/>
    </row>
    <row r="4780" spans="20:21" x14ac:dyDescent="0.45">
      <c r="T4780" s="17"/>
      <c r="U4780" s="1"/>
    </row>
    <row r="4781" spans="20:21" x14ac:dyDescent="0.45">
      <c r="T4781" s="17"/>
      <c r="U4781" s="1"/>
    </row>
    <row r="4782" spans="20:21" x14ac:dyDescent="0.45">
      <c r="T4782" s="17"/>
      <c r="U4782" s="1"/>
    </row>
    <row r="4783" spans="20:21" x14ac:dyDescent="0.45">
      <c r="T4783" s="17"/>
      <c r="U4783" s="1"/>
    </row>
    <row r="4784" spans="20:21" x14ac:dyDescent="0.45">
      <c r="T4784" s="17"/>
      <c r="U4784" s="1"/>
    </row>
    <row r="4785" spans="20:21" x14ac:dyDescent="0.45">
      <c r="T4785" s="17"/>
      <c r="U4785" s="1"/>
    </row>
    <row r="4786" spans="20:21" x14ac:dyDescent="0.45">
      <c r="T4786" s="17"/>
      <c r="U4786" s="1"/>
    </row>
    <row r="4787" spans="20:21" x14ac:dyDescent="0.45">
      <c r="T4787" s="17"/>
      <c r="U4787" s="1"/>
    </row>
    <row r="4788" spans="20:21" x14ac:dyDescent="0.45">
      <c r="T4788" s="17"/>
      <c r="U4788" s="1"/>
    </row>
    <row r="4789" spans="20:21" x14ac:dyDescent="0.45">
      <c r="T4789" s="17"/>
      <c r="U4789" s="1"/>
    </row>
    <row r="4790" spans="20:21" x14ac:dyDescent="0.45">
      <c r="T4790" s="17"/>
      <c r="U4790" s="1"/>
    </row>
    <row r="4791" spans="20:21" x14ac:dyDescent="0.45">
      <c r="T4791" s="17"/>
      <c r="U4791" s="1"/>
    </row>
    <row r="4792" spans="20:21" x14ac:dyDescent="0.45">
      <c r="T4792" s="17"/>
      <c r="U4792" s="1"/>
    </row>
    <row r="4793" spans="20:21" x14ac:dyDescent="0.45">
      <c r="T4793" s="17"/>
      <c r="U4793" s="1"/>
    </row>
    <row r="4794" spans="20:21" x14ac:dyDescent="0.45">
      <c r="T4794" s="17"/>
      <c r="U4794" s="1"/>
    </row>
    <row r="4795" spans="20:21" x14ac:dyDescent="0.45">
      <c r="T4795" s="17"/>
      <c r="U4795" s="1"/>
    </row>
    <row r="4796" spans="20:21" x14ac:dyDescent="0.45">
      <c r="T4796" s="17"/>
      <c r="U4796" s="1"/>
    </row>
    <row r="4797" spans="20:21" x14ac:dyDescent="0.45">
      <c r="T4797" s="17"/>
      <c r="U4797" s="1"/>
    </row>
    <row r="4798" spans="20:21" x14ac:dyDescent="0.45">
      <c r="T4798" s="17"/>
      <c r="U4798" s="1"/>
    </row>
    <row r="4799" spans="20:21" x14ac:dyDescent="0.45">
      <c r="T4799" s="17"/>
      <c r="U4799" s="1"/>
    </row>
    <row r="4800" spans="20:21" x14ac:dyDescent="0.45">
      <c r="T4800" s="17"/>
      <c r="U4800" s="1"/>
    </row>
    <row r="4801" spans="20:21" x14ac:dyDescent="0.45">
      <c r="T4801" s="17"/>
      <c r="U4801" s="1"/>
    </row>
    <row r="4802" spans="20:21" x14ac:dyDescent="0.45">
      <c r="T4802" s="17"/>
      <c r="U4802" s="1"/>
    </row>
    <row r="4803" spans="20:21" x14ac:dyDescent="0.45">
      <c r="T4803" s="17"/>
      <c r="U4803" s="1"/>
    </row>
    <row r="4804" spans="20:21" x14ac:dyDescent="0.45">
      <c r="T4804" s="17"/>
      <c r="U4804" s="1"/>
    </row>
    <row r="4805" spans="20:21" x14ac:dyDescent="0.45">
      <c r="T4805" s="17"/>
      <c r="U4805" s="1"/>
    </row>
    <row r="4806" spans="20:21" x14ac:dyDescent="0.45">
      <c r="T4806" s="17"/>
      <c r="U4806" s="1"/>
    </row>
    <row r="4807" spans="20:21" x14ac:dyDescent="0.45">
      <c r="T4807" s="17"/>
      <c r="U4807" s="1"/>
    </row>
    <row r="4808" spans="20:21" x14ac:dyDescent="0.45">
      <c r="T4808" s="17"/>
      <c r="U4808" s="1"/>
    </row>
    <row r="4809" spans="20:21" x14ac:dyDescent="0.45">
      <c r="T4809" s="17"/>
      <c r="U4809" s="1"/>
    </row>
    <row r="4810" spans="20:21" x14ac:dyDescent="0.45">
      <c r="T4810" s="17"/>
      <c r="U4810" s="1"/>
    </row>
    <row r="4811" spans="20:21" x14ac:dyDescent="0.45">
      <c r="T4811" s="17"/>
      <c r="U4811" s="1"/>
    </row>
    <row r="4812" spans="20:21" x14ac:dyDescent="0.45">
      <c r="T4812" s="17"/>
      <c r="U4812" s="1"/>
    </row>
    <row r="4813" spans="20:21" x14ac:dyDescent="0.45">
      <c r="T4813" s="17"/>
      <c r="U4813" s="1"/>
    </row>
    <row r="4814" spans="20:21" x14ac:dyDescent="0.45">
      <c r="T4814" s="17"/>
      <c r="U4814" s="1"/>
    </row>
    <row r="4815" spans="20:21" x14ac:dyDescent="0.45">
      <c r="T4815" s="17"/>
      <c r="U4815" s="1"/>
    </row>
    <row r="4816" spans="20:21" x14ac:dyDescent="0.45">
      <c r="T4816" s="17"/>
      <c r="U4816" s="1"/>
    </row>
    <row r="4817" spans="20:21" x14ac:dyDescent="0.45">
      <c r="T4817" s="17"/>
      <c r="U4817" s="1"/>
    </row>
    <row r="4818" spans="20:21" x14ac:dyDescent="0.45">
      <c r="T4818" s="17"/>
      <c r="U4818" s="1"/>
    </row>
    <row r="4819" spans="20:21" x14ac:dyDescent="0.45">
      <c r="T4819" s="17"/>
      <c r="U4819" s="1"/>
    </row>
    <row r="4820" spans="20:21" x14ac:dyDescent="0.45">
      <c r="T4820" s="17"/>
      <c r="U4820" s="1"/>
    </row>
    <row r="4821" spans="20:21" x14ac:dyDescent="0.45">
      <c r="T4821" s="17"/>
      <c r="U4821" s="1"/>
    </row>
    <row r="4822" spans="20:21" x14ac:dyDescent="0.45">
      <c r="T4822" s="17"/>
      <c r="U4822" s="1"/>
    </row>
    <row r="4823" spans="20:21" x14ac:dyDescent="0.45">
      <c r="T4823" s="17"/>
      <c r="U4823" s="1"/>
    </row>
    <row r="4824" spans="20:21" x14ac:dyDescent="0.45">
      <c r="T4824" s="17"/>
      <c r="U4824" s="1"/>
    </row>
    <row r="4825" spans="20:21" x14ac:dyDescent="0.45">
      <c r="T4825" s="17"/>
      <c r="U4825" s="1"/>
    </row>
    <row r="4826" spans="20:21" x14ac:dyDescent="0.45">
      <c r="T4826" s="17"/>
      <c r="U4826" s="1"/>
    </row>
    <row r="4827" spans="20:21" x14ac:dyDescent="0.45">
      <c r="T4827" s="17"/>
      <c r="U4827" s="1"/>
    </row>
    <row r="4828" spans="20:21" x14ac:dyDescent="0.45">
      <c r="T4828" s="17"/>
      <c r="U4828" s="1"/>
    </row>
    <row r="4829" spans="20:21" x14ac:dyDescent="0.45">
      <c r="T4829" s="17"/>
      <c r="U4829" s="1"/>
    </row>
    <row r="4830" spans="20:21" x14ac:dyDescent="0.45">
      <c r="T4830" s="17"/>
      <c r="U4830" s="1"/>
    </row>
    <row r="4831" spans="20:21" x14ac:dyDescent="0.45">
      <c r="T4831" s="17"/>
      <c r="U4831" s="1"/>
    </row>
    <row r="4832" spans="20:21" x14ac:dyDescent="0.45">
      <c r="T4832" s="17"/>
      <c r="U4832" s="1"/>
    </row>
    <row r="4833" spans="20:21" x14ac:dyDescent="0.45">
      <c r="T4833" s="17"/>
      <c r="U4833" s="1"/>
    </row>
    <row r="4834" spans="20:21" x14ac:dyDescent="0.45">
      <c r="T4834" s="17"/>
      <c r="U4834" s="1"/>
    </row>
    <row r="4835" spans="20:21" x14ac:dyDescent="0.45">
      <c r="T4835" s="17"/>
      <c r="U4835" s="1"/>
    </row>
    <row r="4836" spans="20:21" x14ac:dyDescent="0.45">
      <c r="T4836" s="17"/>
      <c r="U4836" s="1"/>
    </row>
    <row r="4837" spans="20:21" x14ac:dyDescent="0.45">
      <c r="T4837" s="17"/>
      <c r="U4837" s="1"/>
    </row>
    <row r="4838" spans="20:21" x14ac:dyDescent="0.45">
      <c r="T4838" s="17"/>
      <c r="U4838" s="1"/>
    </row>
    <row r="4839" spans="20:21" x14ac:dyDescent="0.45">
      <c r="T4839" s="17"/>
      <c r="U4839" s="1"/>
    </row>
    <row r="4840" spans="20:21" x14ac:dyDescent="0.45">
      <c r="T4840" s="17"/>
      <c r="U4840" s="1"/>
    </row>
    <row r="4841" spans="20:21" x14ac:dyDescent="0.45">
      <c r="T4841" s="17"/>
      <c r="U4841" s="1"/>
    </row>
    <row r="4842" spans="20:21" x14ac:dyDescent="0.45">
      <c r="T4842" s="17"/>
      <c r="U4842" s="1"/>
    </row>
    <row r="4843" spans="20:21" x14ac:dyDescent="0.45">
      <c r="T4843" s="17"/>
      <c r="U4843" s="1"/>
    </row>
    <row r="4844" spans="20:21" x14ac:dyDescent="0.45">
      <c r="T4844" s="17"/>
      <c r="U4844" s="1"/>
    </row>
    <row r="4845" spans="20:21" x14ac:dyDescent="0.45">
      <c r="T4845" s="17"/>
      <c r="U4845" s="1"/>
    </row>
    <row r="4846" spans="20:21" x14ac:dyDescent="0.45">
      <c r="T4846" s="17"/>
      <c r="U4846" s="1"/>
    </row>
    <row r="4847" spans="20:21" x14ac:dyDescent="0.45">
      <c r="T4847" s="17"/>
      <c r="U4847" s="1"/>
    </row>
    <row r="4848" spans="20:21" x14ac:dyDescent="0.45">
      <c r="T4848" s="17"/>
      <c r="U4848" s="1"/>
    </row>
    <row r="4849" spans="20:21" x14ac:dyDescent="0.45">
      <c r="T4849" s="17"/>
      <c r="U4849" s="1"/>
    </row>
    <row r="4850" spans="20:21" x14ac:dyDescent="0.45">
      <c r="T4850" s="17"/>
      <c r="U4850" s="1"/>
    </row>
    <row r="4851" spans="20:21" x14ac:dyDescent="0.45">
      <c r="T4851" s="17"/>
      <c r="U4851" s="1"/>
    </row>
    <row r="4852" spans="20:21" x14ac:dyDescent="0.45">
      <c r="T4852" s="17"/>
      <c r="U4852" s="1"/>
    </row>
    <row r="4853" spans="20:21" x14ac:dyDescent="0.45">
      <c r="T4853" s="17"/>
      <c r="U4853" s="1"/>
    </row>
    <row r="4854" spans="20:21" x14ac:dyDescent="0.45">
      <c r="T4854" s="17"/>
      <c r="U4854" s="1"/>
    </row>
    <row r="4855" spans="20:21" x14ac:dyDescent="0.45">
      <c r="T4855" s="17"/>
      <c r="U4855" s="1"/>
    </row>
    <row r="4856" spans="20:21" x14ac:dyDescent="0.45">
      <c r="T4856" s="17"/>
      <c r="U4856" s="1"/>
    </row>
    <row r="4857" spans="20:21" x14ac:dyDescent="0.45">
      <c r="T4857" s="17"/>
      <c r="U4857" s="1"/>
    </row>
    <row r="4858" spans="20:21" x14ac:dyDescent="0.45">
      <c r="T4858" s="17"/>
      <c r="U4858" s="1"/>
    </row>
    <row r="4859" spans="20:21" x14ac:dyDescent="0.45">
      <c r="T4859" s="17"/>
      <c r="U4859" s="1"/>
    </row>
    <row r="4860" spans="20:21" x14ac:dyDescent="0.45">
      <c r="T4860" s="17"/>
      <c r="U4860" s="1"/>
    </row>
    <row r="4861" spans="20:21" x14ac:dyDescent="0.45">
      <c r="T4861" s="17"/>
      <c r="U4861" s="1"/>
    </row>
    <row r="4862" spans="20:21" x14ac:dyDescent="0.45">
      <c r="T4862" s="17"/>
      <c r="U4862" s="1"/>
    </row>
    <row r="4863" spans="20:21" x14ac:dyDescent="0.45">
      <c r="T4863" s="17"/>
      <c r="U4863" s="1"/>
    </row>
    <row r="4864" spans="20:21" x14ac:dyDescent="0.45">
      <c r="T4864" s="17"/>
      <c r="U4864" s="1"/>
    </row>
    <row r="4865" spans="20:21" x14ac:dyDescent="0.45">
      <c r="T4865" s="17"/>
      <c r="U4865" s="1"/>
    </row>
    <row r="4866" spans="20:21" x14ac:dyDescent="0.45">
      <c r="T4866" s="17"/>
      <c r="U4866" s="1"/>
    </row>
    <row r="4867" spans="20:21" x14ac:dyDescent="0.45">
      <c r="T4867" s="17"/>
      <c r="U4867" s="1"/>
    </row>
    <row r="4868" spans="20:21" x14ac:dyDescent="0.45">
      <c r="T4868" s="17"/>
      <c r="U4868" s="1"/>
    </row>
    <row r="4869" spans="20:21" x14ac:dyDescent="0.45">
      <c r="T4869" s="17"/>
      <c r="U4869" s="1"/>
    </row>
    <row r="4870" spans="20:21" x14ac:dyDescent="0.45">
      <c r="T4870" s="17"/>
      <c r="U4870" s="1"/>
    </row>
    <row r="4871" spans="20:21" x14ac:dyDescent="0.45">
      <c r="T4871" s="17"/>
      <c r="U4871" s="1"/>
    </row>
    <row r="4872" spans="20:21" x14ac:dyDescent="0.45">
      <c r="T4872" s="17"/>
      <c r="U4872" s="1"/>
    </row>
    <row r="4873" spans="20:21" x14ac:dyDescent="0.45">
      <c r="T4873" s="17"/>
      <c r="U4873" s="1"/>
    </row>
    <row r="4874" spans="20:21" x14ac:dyDescent="0.45">
      <c r="T4874" s="17"/>
      <c r="U4874" s="1"/>
    </row>
    <row r="4875" spans="20:21" x14ac:dyDescent="0.45">
      <c r="T4875" s="17"/>
      <c r="U4875" s="1"/>
    </row>
    <row r="4876" spans="20:21" x14ac:dyDescent="0.45">
      <c r="T4876" s="17"/>
      <c r="U4876" s="1"/>
    </row>
    <row r="4877" spans="20:21" x14ac:dyDescent="0.45">
      <c r="T4877" s="17"/>
      <c r="U4877" s="1"/>
    </row>
    <row r="4878" spans="20:21" x14ac:dyDescent="0.45">
      <c r="T4878" s="17"/>
      <c r="U4878" s="1"/>
    </row>
    <row r="4879" spans="20:21" x14ac:dyDescent="0.45">
      <c r="T4879" s="17"/>
      <c r="U4879" s="1"/>
    </row>
    <row r="4880" spans="20:21" x14ac:dyDescent="0.45">
      <c r="T4880" s="17"/>
      <c r="U4880" s="1"/>
    </row>
    <row r="4881" spans="20:21" x14ac:dyDescent="0.45">
      <c r="T4881" s="17"/>
      <c r="U4881" s="1"/>
    </row>
    <row r="4882" spans="20:21" x14ac:dyDescent="0.45">
      <c r="T4882" s="17"/>
      <c r="U4882" s="1"/>
    </row>
    <row r="4883" spans="20:21" x14ac:dyDescent="0.45">
      <c r="T4883" s="17"/>
      <c r="U4883" s="1"/>
    </row>
    <row r="4884" spans="20:21" x14ac:dyDescent="0.45">
      <c r="T4884" s="17"/>
      <c r="U4884" s="1"/>
    </row>
    <row r="4885" spans="20:21" x14ac:dyDescent="0.45">
      <c r="T4885" s="17"/>
      <c r="U4885" s="1"/>
    </row>
    <row r="4886" spans="20:21" x14ac:dyDescent="0.45">
      <c r="T4886" s="17"/>
      <c r="U4886" s="1"/>
    </row>
    <row r="4887" spans="20:21" x14ac:dyDescent="0.45">
      <c r="T4887" s="17"/>
      <c r="U4887" s="1"/>
    </row>
    <row r="4888" spans="20:21" x14ac:dyDescent="0.45">
      <c r="T4888" s="17"/>
      <c r="U4888" s="1"/>
    </row>
    <row r="4889" spans="20:21" x14ac:dyDescent="0.45">
      <c r="T4889" s="17"/>
      <c r="U4889" s="1"/>
    </row>
    <row r="4890" spans="20:21" x14ac:dyDescent="0.45">
      <c r="T4890" s="17"/>
      <c r="U4890" s="1"/>
    </row>
    <row r="4891" spans="20:21" x14ac:dyDescent="0.45">
      <c r="T4891" s="17"/>
      <c r="U4891" s="1"/>
    </row>
    <row r="4892" spans="20:21" x14ac:dyDescent="0.45">
      <c r="T4892" s="17"/>
      <c r="U4892" s="1"/>
    </row>
    <row r="4893" spans="20:21" x14ac:dyDescent="0.45">
      <c r="T4893" s="17"/>
      <c r="U4893" s="1"/>
    </row>
    <row r="4894" spans="20:21" x14ac:dyDescent="0.45">
      <c r="T4894" s="17"/>
      <c r="U4894" s="1"/>
    </row>
    <row r="4895" spans="20:21" x14ac:dyDescent="0.45">
      <c r="T4895" s="17"/>
      <c r="U4895" s="1"/>
    </row>
    <row r="4896" spans="20:21" x14ac:dyDescent="0.45">
      <c r="T4896" s="17"/>
      <c r="U4896" s="1"/>
    </row>
    <row r="4897" spans="20:21" x14ac:dyDescent="0.45">
      <c r="T4897" s="17"/>
      <c r="U4897" s="1"/>
    </row>
    <row r="4898" spans="20:21" x14ac:dyDescent="0.45">
      <c r="T4898" s="17"/>
      <c r="U4898" s="1"/>
    </row>
    <row r="4899" spans="20:21" x14ac:dyDescent="0.45">
      <c r="T4899" s="17"/>
      <c r="U4899" s="1"/>
    </row>
    <row r="4900" spans="20:21" x14ac:dyDescent="0.45">
      <c r="T4900" s="17"/>
      <c r="U4900" s="1"/>
    </row>
    <row r="4901" spans="20:21" x14ac:dyDescent="0.45">
      <c r="T4901" s="17"/>
      <c r="U4901" s="1"/>
    </row>
    <row r="4902" spans="20:21" x14ac:dyDescent="0.45">
      <c r="T4902" s="17"/>
      <c r="U4902" s="1"/>
    </row>
    <row r="4903" spans="20:21" x14ac:dyDescent="0.45">
      <c r="T4903" s="17"/>
      <c r="U4903" s="1"/>
    </row>
    <row r="4904" spans="20:21" x14ac:dyDescent="0.45">
      <c r="T4904" s="17"/>
      <c r="U4904" s="1"/>
    </row>
    <row r="4905" spans="20:21" x14ac:dyDescent="0.45">
      <c r="T4905" s="17"/>
      <c r="U4905" s="1"/>
    </row>
    <row r="4906" spans="20:21" x14ac:dyDescent="0.45">
      <c r="T4906" s="17"/>
      <c r="U4906" s="1"/>
    </row>
    <row r="4907" spans="20:21" x14ac:dyDescent="0.45">
      <c r="T4907" s="17"/>
      <c r="U4907" s="1"/>
    </row>
    <row r="4908" spans="20:21" x14ac:dyDescent="0.45">
      <c r="T4908" s="17"/>
      <c r="U4908" s="1"/>
    </row>
    <row r="4909" spans="20:21" x14ac:dyDescent="0.45">
      <c r="T4909" s="17"/>
      <c r="U4909" s="1"/>
    </row>
    <row r="4910" spans="20:21" x14ac:dyDescent="0.45">
      <c r="T4910" s="17"/>
      <c r="U4910" s="1"/>
    </row>
    <row r="4911" spans="20:21" x14ac:dyDescent="0.45">
      <c r="T4911" s="17"/>
      <c r="U4911" s="1"/>
    </row>
    <row r="4912" spans="20:21" x14ac:dyDescent="0.45">
      <c r="T4912" s="17"/>
      <c r="U4912" s="1"/>
    </row>
    <row r="4913" spans="20:21" x14ac:dyDescent="0.45">
      <c r="T4913" s="17"/>
      <c r="U4913" s="1"/>
    </row>
    <row r="4914" spans="20:21" x14ac:dyDescent="0.45">
      <c r="T4914" s="17"/>
      <c r="U4914" s="1"/>
    </row>
    <row r="4915" spans="20:21" x14ac:dyDescent="0.45">
      <c r="T4915" s="17"/>
      <c r="U4915" s="1"/>
    </row>
    <row r="4916" spans="20:21" x14ac:dyDescent="0.45">
      <c r="T4916" s="17"/>
      <c r="U4916" s="1"/>
    </row>
    <row r="4917" spans="20:21" x14ac:dyDescent="0.45">
      <c r="T4917" s="17"/>
      <c r="U4917" s="1"/>
    </row>
    <row r="4918" spans="20:21" x14ac:dyDescent="0.45">
      <c r="T4918" s="17"/>
      <c r="U4918" s="1"/>
    </row>
    <row r="4919" spans="20:21" x14ac:dyDescent="0.45">
      <c r="T4919" s="17"/>
      <c r="U4919" s="1"/>
    </row>
    <row r="4920" spans="20:21" x14ac:dyDescent="0.45">
      <c r="T4920" s="17"/>
      <c r="U4920" s="1"/>
    </row>
    <row r="4921" spans="20:21" x14ac:dyDescent="0.45">
      <c r="T4921" s="17"/>
      <c r="U4921" s="1"/>
    </row>
    <row r="4922" spans="20:21" x14ac:dyDescent="0.45">
      <c r="T4922" s="17"/>
      <c r="U4922" s="1"/>
    </row>
    <row r="4923" spans="20:21" x14ac:dyDescent="0.45">
      <c r="T4923" s="17"/>
      <c r="U4923" s="1"/>
    </row>
    <row r="4924" spans="20:21" x14ac:dyDescent="0.45">
      <c r="T4924" s="17"/>
      <c r="U4924" s="1"/>
    </row>
    <row r="4925" spans="20:21" x14ac:dyDescent="0.45">
      <c r="T4925" s="17"/>
      <c r="U4925" s="1"/>
    </row>
    <row r="4926" spans="20:21" x14ac:dyDescent="0.45">
      <c r="T4926" s="17"/>
      <c r="U4926" s="1"/>
    </row>
    <row r="4927" spans="20:21" x14ac:dyDescent="0.45">
      <c r="T4927" s="17"/>
      <c r="U4927" s="1"/>
    </row>
    <row r="4928" spans="20:21" x14ac:dyDescent="0.45">
      <c r="T4928" s="17"/>
      <c r="U4928" s="1"/>
    </row>
    <row r="4929" spans="20:21" x14ac:dyDescent="0.45">
      <c r="T4929" s="17"/>
      <c r="U4929" s="1"/>
    </row>
    <row r="4930" spans="20:21" x14ac:dyDescent="0.45">
      <c r="T4930" s="17"/>
      <c r="U4930" s="1"/>
    </row>
    <row r="4931" spans="20:21" x14ac:dyDescent="0.45">
      <c r="T4931" s="17"/>
      <c r="U4931" s="1"/>
    </row>
    <row r="4932" spans="20:21" x14ac:dyDescent="0.45">
      <c r="T4932" s="17"/>
      <c r="U4932" s="1"/>
    </row>
    <row r="4933" spans="20:21" x14ac:dyDescent="0.45">
      <c r="T4933" s="17"/>
      <c r="U4933" s="1"/>
    </row>
    <row r="4934" spans="20:21" x14ac:dyDescent="0.45">
      <c r="T4934" s="17"/>
      <c r="U4934" s="1"/>
    </row>
    <row r="4935" spans="20:21" x14ac:dyDescent="0.45">
      <c r="T4935" s="17"/>
      <c r="U4935" s="1"/>
    </row>
    <row r="4936" spans="20:21" x14ac:dyDescent="0.45">
      <c r="T4936" s="17"/>
      <c r="U4936" s="1"/>
    </row>
    <row r="4937" spans="20:21" x14ac:dyDescent="0.45">
      <c r="T4937" s="17"/>
      <c r="U4937" s="1"/>
    </row>
    <row r="4938" spans="20:21" x14ac:dyDescent="0.45">
      <c r="T4938" s="17"/>
      <c r="U4938" s="1"/>
    </row>
    <row r="4939" spans="20:21" x14ac:dyDescent="0.45">
      <c r="T4939" s="17"/>
      <c r="U4939" s="1"/>
    </row>
    <row r="4940" spans="20:21" x14ac:dyDescent="0.45">
      <c r="T4940" s="17"/>
      <c r="U4940" s="1"/>
    </row>
    <row r="4941" spans="20:21" x14ac:dyDescent="0.45">
      <c r="T4941" s="17"/>
      <c r="U4941" s="1"/>
    </row>
    <row r="4942" spans="20:21" x14ac:dyDescent="0.45">
      <c r="T4942" s="17"/>
      <c r="U4942" s="1"/>
    </row>
    <row r="4943" spans="20:21" x14ac:dyDescent="0.45">
      <c r="T4943" s="17"/>
      <c r="U4943" s="1"/>
    </row>
    <row r="4944" spans="20:21" x14ac:dyDescent="0.45">
      <c r="T4944" s="17"/>
      <c r="U4944" s="1"/>
    </row>
    <row r="4945" spans="20:21" x14ac:dyDescent="0.45">
      <c r="T4945" s="17"/>
      <c r="U4945" s="1"/>
    </row>
    <row r="4946" spans="20:21" x14ac:dyDescent="0.45">
      <c r="T4946" s="17"/>
      <c r="U4946" s="1"/>
    </row>
    <row r="4947" spans="20:21" x14ac:dyDescent="0.45">
      <c r="T4947" s="17"/>
      <c r="U4947" s="1"/>
    </row>
    <row r="4948" spans="20:21" x14ac:dyDescent="0.45">
      <c r="T4948" s="17"/>
      <c r="U4948" s="1"/>
    </row>
    <row r="4949" spans="20:21" x14ac:dyDescent="0.45">
      <c r="T4949" s="17"/>
      <c r="U4949" s="1"/>
    </row>
    <row r="4950" spans="20:21" x14ac:dyDescent="0.45">
      <c r="T4950" s="17"/>
      <c r="U4950" s="1"/>
    </row>
    <row r="4951" spans="20:21" x14ac:dyDescent="0.45">
      <c r="T4951" s="17"/>
      <c r="U4951" s="1"/>
    </row>
    <row r="4952" spans="20:21" x14ac:dyDescent="0.45">
      <c r="T4952" s="17"/>
      <c r="U4952" s="1"/>
    </row>
    <row r="4953" spans="20:21" x14ac:dyDescent="0.45">
      <c r="T4953" s="17"/>
      <c r="U4953" s="1"/>
    </row>
    <row r="4954" spans="20:21" x14ac:dyDescent="0.45">
      <c r="T4954" s="17"/>
      <c r="U4954" s="1"/>
    </row>
    <row r="4955" spans="20:21" x14ac:dyDescent="0.45">
      <c r="T4955" s="17"/>
      <c r="U4955" s="1"/>
    </row>
    <row r="4956" spans="20:21" x14ac:dyDescent="0.45">
      <c r="T4956" s="17"/>
      <c r="U4956" s="1"/>
    </row>
    <row r="4957" spans="20:21" x14ac:dyDescent="0.45">
      <c r="T4957" s="17"/>
      <c r="U4957" s="1"/>
    </row>
    <row r="4958" spans="20:21" x14ac:dyDescent="0.45">
      <c r="T4958" s="17"/>
      <c r="U4958" s="1"/>
    </row>
    <row r="4959" spans="20:21" x14ac:dyDescent="0.45">
      <c r="T4959" s="17"/>
      <c r="U4959" s="1"/>
    </row>
    <row r="4960" spans="20:21" x14ac:dyDescent="0.45">
      <c r="T4960" s="17"/>
      <c r="U4960" s="1"/>
    </row>
    <row r="4961" spans="20:21" x14ac:dyDescent="0.45">
      <c r="T4961" s="17"/>
      <c r="U4961" s="1"/>
    </row>
    <row r="4962" spans="20:21" x14ac:dyDescent="0.45">
      <c r="T4962" s="17"/>
      <c r="U4962" s="1"/>
    </row>
    <row r="4963" spans="20:21" x14ac:dyDescent="0.45">
      <c r="T4963" s="17"/>
      <c r="U4963" s="1"/>
    </row>
    <row r="4964" spans="20:21" x14ac:dyDescent="0.45">
      <c r="T4964" s="17"/>
      <c r="U4964" s="1"/>
    </row>
    <row r="4965" spans="20:21" x14ac:dyDescent="0.45">
      <c r="T4965" s="17"/>
      <c r="U4965" s="1"/>
    </row>
    <row r="4966" spans="20:21" x14ac:dyDescent="0.45">
      <c r="T4966" s="17"/>
      <c r="U4966" s="1"/>
    </row>
    <row r="4967" spans="20:21" x14ac:dyDescent="0.45">
      <c r="T4967" s="17"/>
      <c r="U4967" s="1"/>
    </row>
    <row r="4968" spans="20:21" x14ac:dyDescent="0.45">
      <c r="T4968" s="17"/>
      <c r="U4968" s="1"/>
    </row>
    <row r="4969" spans="20:21" x14ac:dyDescent="0.45">
      <c r="T4969" s="17"/>
      <c r="U4969" s="1"/>
    </row>
    <row r="4970" spans="20:21" x14ac:dyDescent="0.45">
      <c r="T4970" s="17"/>
      <c r="U4970" s="1"/>
    </row>
    <row r="4971" spans="20:21" x14ac:dyDescent="0.45">
      <c r="T4971" s="17"/>
      <c r="U4971" s="1"/>
    </row>
    <row r="4972" spans="20:21" x14ac:dyDescent="0.45">
      <c r="T4972" s="17"/>
      <c r="U4972" s="1"/>
    </row>
    <row r="4973" spans="20:21" x14ac:dyDescent="0.45">
      <c r="T4973" s="17"/>
      <c r="U4973" s="1"/>
    </row>
    <row r="4974" spans="20:21" x14ac:dyDescent="0.45">
      <c r="T4974" s="17"/>
      <c r="U4974" s="1"/>
    </row>
    <row r="4975" spans="20:21" x14ac:dyDescent="0.45">
      <c r="T4975" s="17"/>
      <c r="U4975" s="1"/>
    </row>
    <row r="4976" spans="20:21" x14ac:dyDescent="0.45">
      <c r="T4976" s="17"/>
      <c r="U4976" s="1"/>
    </row>
    <row r="4977" spans="20:21" x14ac:dyDescent="0.45">
      <c r="T4977" s="17"/>
      <c r="U4977" s="1"/>
    </row>
    <row r="4978" spans="20:21" x14ac:dyDescent="0.45">
      <c r="T4978" s="17"/>
      <c r="U4978" s="1"/>
    </row>
    <row r="4979" spans="20:21" x14ac:dyDescent="0.45">
      <c r="T4979" s="17"/>
      <c r="U4979" s="1"/>
    </row>
    <row r="4980" spans="20:21" x14ac:dyDescent="0.45">
      <c r="T4980" s="17"/>
      <c r="U4980" s="1"/>
    </row>
    <row r="4981" spans="20:21" x14ac:dyDescent="0.45">
      <c r="T4981" s="17"/>
      <c r="U4981" s="1"/>
    </row>
    <row r="4982" spans="20:21" x14ac:dyDescent="0.45">
      <c r="T4982" s="17"/>
      <c r="U4982" s="1"/>
    </row>
    <row r="4983" spans="20:21" x14ac:dyDescent="0.45">
      <c r="T4983" s="17"/>
      <c r="U4983" s="1"/>
    </row>
    <row r="4984" spans="20:21" x14ac:dyDescent="0.45">
      <c r="T4984" s="17"/>
      <c r="U4984" s="1"/>
    </row>
    <row r="4985" spans="20:21" x14ac:dyDescent="0.45">
      <c r="T4985" s="17"/>
      <c r="U4985" s="1"/>
    </row>
    <row r="4986" spans="20:21" x14ac:dyDescent="0.45">
      <c r="T4986" s="17"/>
      <c r="U4986" s="1"/>
    </row>
    <row r="4987" spans="20:21" x14ac:dyDescent="0.45">
      <c r="T4987" s="17"/>
      <c r="U4987" s="1"/>
    </row>
    <row r="4988" spans="20:21" x14ac:dyDescent="0.45">
      <c r="T4988" s="17"/>
      <c r="U4988" s="1"/>
    </row>
    <row r="4989" spans="20:21" x14ac:dyDescent="0.45">
      <c r="T4989" s="17"/>
      <c r="U4989" s="1"/>
    </row>
    <row r="4990" spans="20:21" x14ac:dyDescent="0.45">
      <c r="T4990" s="17"/>
      <c r="U4990" s="1"/>
    </row>
    <row r="4991" spans="20:21" x14ac:dyDescent="0.45">
      <c r="T4991" s="17"/>
      <c r="U4991" s="1"/>
    </row>
    <row r="4992" spans="20:21" x14ac:dyDescent="0.45">
      <c r="T4992" s="17"/>
      <c r="U4992" s="1"/>
    </row>
    <row r="4993" spans="20:21" x14ac:dyDescent="0.45">
      <c r="T4993" s="17"/>
      <c r="U4993" s="1"/>
    </row>
    <row r="4994" spans="20:21" x14ac:dyDescent="0.45">
      <c r="T4994" s="17"/>
      <c r="U4994" s="1"/>
    </row>
    <row r="4995" spans="20:21" x14ac:dyDescent="0.45">
      <c r="T4995" s="17"/>
      <c r="U4995" s="1"/>
    </row>
    <row r="4996" spans="20:21" x14ac:dyDescent="0.45">
      <c r="T4996" s="17"/>
      <c r="U4996" s="1"/>
    </row>
    <row r="4997" spans="20:21" x14ac:dyDescent="0.45">
      <c r="T4997" s="17"/>
      <c r="U4997" s="1"/>
    </row>
    <row r="4998" spans="20:21" x14ac:dyDescent="0.45">
      <c r="T4998" s="17"/>
      <c r="U4998" s="1"/>
    </row>
    <row r="4999" spans="20:21" x14ac:dyDescent="0.45">
      <c r="T4999" s="17"/>
      <c r="U4999" s="1"/>
    </row>
    <row r="5000" spans="20:21" x14ac:dyDescent="0.45">
      <c r="T5000" s="17"/>
      <c r="U5000" s="1"/>
    </row>
    <row r="5001" spans="20:21" x14ac:dyDescent="0.45">
      <c r="T5001" s="17"/>
      <c r="U5001" s="1"/>
    </row>
    <row r="5002" spans="20:21" x14ac:dyDescent="0.45">
      <c r="T5002" s="17"/>
      <c r="U5002" s="1"/>
    </row>
    <row r="5003" spans="20:21" x14ac:dyDescent="0.45">
      <c r="T5003" s="17"/>
      <c r="U5003" s="1"/>
    </row>
    <row r="5004" spans="20:21" x14ac:dyDescent="0.45">
      <c r="T5004" s="17"/>
      <c r="U5004" s="1"/>
    </row>
    <row r="5005" spans="20:21" x14ac:dyDescent="0.45">
      <c r="T5005" s="17"/>
      <c r="U5005" s="1"/>
    </row>
    <row r="5006" spans="20:21" x14ac:dyDescent="0.45">
      <c r="T5006" s="17"/>
      <c r="U5006" s="1"/>
    </row>
    <row r="5007" spans="20:21" x14ac:dyDescent="0.45">
      <c r="T5007" s="17"/>
      <c r="U5007" s="1"/>
    </row>
    <row r="5008" spans="20:21" x14ac:dyDescent="0.45">
      <c r="T5008" s="17"/>
      <c r="U5008" s="1"/>
    </row>
    <row r="5009" spans="20:21" x14ac:dyDescent="0.45">
      <c r="T5009" s="17"/>
      <c r="U5009" s="1"/>
    </row>
    <row r="5010" spans="20:21" x14ac:dyDescent="0.45">
      <c r="T5010" s="17"/>
      <c r="U5010" s="1"/>
    </row>
    <row r="5011" spans="20:21" x14ac:dyDescent="0.45">
      <c r="T5011" s="17"/>
      <c r="U5011" s="1"/>
    </row>
    <row r="5012" spans="20:21" x14ac:dyDescent="0.45">
      <c r="T5012" s="17"/>
      <c r="U5012" s="1"/>
    </row>
    <row r="5013" spans="20:21" x14ac:dyDescent="0.45">
      <c r="T5013" s="17"/>
      <c r="U5013" s="1"/>
    </row>
    <row r="5014" spans="20:21" x14ac:dyDescent="0.45">
      <c r="T5014" s="17"/>
      <c r="U5014" s="1"/>
    </row>
    <row r="5015" spans="20:21" x14ac:dyDescent="0.45">
      <c r="T5015" s="17"/>
      <c r="U5015" s="1"/>
    </row>
    <row r="5016" spans="20:21" x14ac:dyDescent="0.45">
      <c r="T5016" s="17"/>
      <c r="U5016" s="1"/>
    </row>
    <row r="5017" spans="20:21" x14ac:dyDescent="0.45">
      <c r="T5017" s="17"/>
      <c r="U5017" s="1"/>
    </row>
    <row r="5018" spans="20:21" x14ac:dyDescent="0.45">
      <c r="T5018" s="17"/>
      <c r="U5018" s="1"/>
    </row>
    <row r="5019" spans="20:21" x14ac:dyDescent="0.45">
      <c r="T5019" s="17"/>
      <c r="U5019" s="1"/>
    </row>
    <row r="5020" spans="20:21" x14ac:dyDescent="0.45">
      <c r="T5020" s="17"/>
      <c r="U5020" s="1"/>
    </row>
    <row r="5021" spans="20:21" x14ac:dyDescent="0.45">
      <c r="T5021" s="17"/>
      <c r="U5021" s="1"/>
    </row>
    <row r="5022" spans="20:21" x14ac:dyDescent="0.45">
      <c r="T5022" s="17"/>
      <c r="U5022" s="1"/>
    </row>
    <row r="5023" spans="20:21" x14ac:dyDescent="0.45">
      <c r="T5023" s="17"/>
      <c r="U5023" s="1"/>
    </row>
    <row r="5024" spans="20:21" x14ac:dyDescent="0.45">
      <c r="T5024" s="17"/>
      <c r="U5024" s="1"/>
    </row>
    <row r="5025" spans="20:21" x14ac:dyDescent="0.45">
      <c r="T5025" s="17"/>
      <c r="U5025" s="1"/>
    </row>
    <row r="5026" spans="20:21" x14ac:dyDescent="0.45">
      <c r="T5026" s="17"/>
      <c r="U5026" s="1"/>
    </row>
    <row r="5027" spans="20:21" x14ac:dyDescent="0.45">
      <c r="T5027" s="17"/>
      <c r="U5027" s="1"/>
    </row>
    <row r="5028" spans="20:21" x14ac:dyDescent="0.45">
      <c r="T5028" s="17"/>
      <c r="U5028" s="1"/>
    </row>
    <row r="5029" spans="20:21" x14ac:dyDescent="0.45">
      <c r="T5029" s="17"/>
      <c r="U5029" s="1"/>
    </row>
    <row r="5030" spans="20:21" x14ac:dyDescent="0.45">
      <c r="T5030" s="17"/>
      <c r="U5030" s="1"/>
    </row>
    <row r="5031" spans="20:21" x14ac:dyDescent="0.45">
      <c r="T5031" s="17"/>
      <c r="U5031" s="1"/>
    </row>
    <row r="5032" spans="20:21" x14ac:dyDescent="0.45">
      <c r="T5032" s="17"/>
      <c r="U5032" s="1"/>
    </row>
    <row r="5033" spans="20:21" x14ac:dyDescent="0.45">
      <c r="T5033" s="17"/>
      <c r="U5033" s="1"/>
    </row>
    <row r="5034" spans="20:21" x14ac:dyDescent="0.45">
      <c r="T5034" s="17"/>
      <c r="U5034" s="1"/>
    </row>
    <row r="5035" spans="20:21" x14ac:dyDescent="0.45">
      <c r="T5035" s="17"/>
      <c r="U5035" s="1"/>
    </row>
    <row r="5036" spans="20:21" x14ac:dyDescent="0.45">
      <c r="T5036" s="17"/>
      <c r="U5036" s="1"/>
    </row>
    <row r="5037" spans="20:21" x14ac:dyDescent="0.45">
      <c r="T5037" s="17"/>
      <c r="U5037" s="1"/>
    </row>
    <row r="5038" spans="20:21" x14ac:dyDescent="0.45">
      <c r="T5038" s="17"/>
      <c r="U5038" s="1"/>
    </row>
    <row r="5039" spans="20:21" x14ac:dyDescent="0.45">
      <c r="T5039" s="17"/>
      <c r="U5039" s="1"/>
    </row>
    <row r="5040" spans="20:21" x14ac:dyDescent="0.45">
      <c r="T5040" s="17"/>
      <c r="U5040" s="1"/>
    </row>
    <row r="5041" spans="20:21" x14ac:dyDescent="0.45">
      <c r="T5041" s="17"/>
      <c r="U5041" s="1"/>
    </row>
    <row r="5042" spans="20:21" x14ac:dyDescent="0.45">
      <c r="T5042" s="17"/>
      <c r="U5042" s="1"/>
    </row>
    <row r="5043" spans="20:21" x14ac:dyDescent="0.45">
      <c r="T5043" s="17"/>
      <c r="U5043" s="1"/>
    </row>
    <row r="5044" spans="20:21" x14ac:dyDescent="0.45">
      <c r="T5044" s="17"/>
      <c r="U5044" s="1"/>
    </row>
    <row r="5045" spans="20:21" x14ac:dyDescent="0.45">
      <c r="T5045" s="17"/>
      <c r="U5045" s="1"/>
    </row>
    <row r="5046" spans="20:21" x14ac:dyDescent="0.45">
      <c r="T5046" s="17"/>
      <c r="U5046" s="1"/>
    </row>
    <row r="5047" spans="20:21" x14ac:dyDescent="0.45">
      <c r="T5047" s="17"/>
      <c r="U5047" s="1"/>
    </row>
    <row r="5048" spans="20:21" x14ac:dyDescent="0.45">
      <c r="T5048" s="17"/>
      <c r="U5048" s="1"/>
    </row>
    <row r="5049" spans="20:21" x14ac:dyDescent="0.45">
      <c r="T5049" s="17"/>
      <c r="U5049" s="1"/>
    </row>
    <row r="5050" spans="20:21" x14ac:dyDescent="0.45">
      <c r="T5050" s="17"/>
      <c r="U5050" s="1"/>
    </row>
    <row r="5051" spans="20:21" x14ac:dyDescent="0.45">
      <c r="T5051" s="17"/>
      <c r="U5051" s="1"/>
    </row>
    <row r="5052" spans="20:21" x14ac:dyDescent="0.45">
      <c r="T5052" s="17"/>
      <c r="U5052" s="1"/>
    </row>
    <row r="5053" spans="20:21" x14ac:dyDescent="0.45">
      <c r="T5053" s="17"/>
      <c r="U5053" s="1"/>
    </row>
    <row r="5054" spans="20:21" x14ac:dyDescent="0.45">
      <c r="T5054" s="17"/>
      <c r="U5054" s="1"/>
    </row>
    <row r="5055" spans="20:21" x14ac:dyDescent="0.45">
      <c r="T5055" s="17"/>
      <c r="U5055" s="1"/>
    </row>
    <row r="5056" spans="20:21" x14ac:dyDescent="0.45">
      <c r="T5056" s="17"/>
      <c r="U5056" s="1"/>
    </row>
    <row r="5057" spans="20:21" x14ac:dyDescent="0.45">
      <c r="T5057" s="17"/>
      <c r="U5057" s="1"/>
    </row>
    <row r="5058" spans="20:21" x14ac:dyDescent="0.45">
      <c r="T5058" s="17"/>
      <c r="U5058" s="1"/>
    </row>
    <row r="5059" spans="20:21" x14ac:dyDescent="0.45">
      <c r="T5059" s="17"/>
      <c r="U5059" s="1"/>
    </row>
    <row r="5060" spans="20:21" x14ac:dyDescent="0.45">
      <c r="T5060" s="17"/>
      <c r="U5060" s="1"/>
    </row>
    <row r="5061" spans="20:21" x14ac:dyDescent="0.45">
      <c r="T5061" s="17"/>
      <c r="U5061" s="1"/>
    </row>
    <row r="5062" spans="20:21" x14ac:dyDescent="0.45">
      <c r="T5062" s="17"/>
      <c r="U5062" s="1"/>
    </row>
    <row r="5063" spans="20:21" x14ac:dyDescent="0.45">
      <c r="T5063" s="17"/>
      <c r="U5063" s="1"/>
    </row>
    <row r="5064" spans="20:21" x14ac:dyDescent="0.45">
      <c r="T5064" s="17"/>
      <c r="U5064" s="1"/>
    </row>
    <row r="5065" spans="20:21" x14ac:dyDescent="0.45">
      <c r="T5065" s="17"/>
      <c r="U5065" s="1"/>
    </row>
    <row r="5066" spans="20:21" x14ac:dyDescent="0.45">
      <c r="T5066" s="17"/>
      <c r="U5066" s="1"/>
    </row>
    <row r="5067" spans="20:21" x14ac:dyDescent="0.45">
      <c r="T5067" s="17"/>
      <c r="U5067" s="1"/>
    </row>
    <row r="5068" spans="20:21" x14ac:dyDescent="0.45">
      <c r="T5068" s="17"/>
      <c r="U5068" s="1"/>
    </row>
    <row r="5069" spans="20:21" x14ac:dyDescent="0.45">
      <c r="T5069" s="17"/>
      <c r="U5069" s="1"/>
    </row>
    <row r="5070" spans="20:21" x14ac:dyDescent="0.45">
      <c r="T5070" s="17"/>
      <c r="U5070" s="1"/>
    </row>
    <row r="5071" spans="20:21" x14ac:dyDescent="0.45">
      <c r="T5071" s="17"/>
      <c r="U5071" s="1"/>
    </row>
    <row r="5072" spans="20:21" x14ac:dyDescent="0.45">
      <c r="T5072" s="17"/>
      <c r="U5072" s="1"/>
    </row>
    <row r="5073" spans="20:21" x14ac:dyDescent="0.45">
      <c r="T5073" s="17"/>
      <c r="U5073" s="1"/>
    </row>
    <row r="5074" spans="20:21" x14ac:dyDescent="0.45">
      <c r="T5074" s="17"/>
      <c r="U5074" s="1"/>
    </row>
    <row r="5075" spans="20:21" x14ac:dyDescent="0.45">
      <c r="T5075" s="17"/>
      <c r="U5075" s="1"/>
    </row>
    <row r="5076" spans="20:21" x14ac:dyDescent="0.45">
      <c r="T5076" s="17"/>
      <c r="U5076" s="1"/>
    </row>
    <row r="5077" spans="20:21" x14ac:dyDescent="0.45">
      <c r="T5077" s="17"/>
      <c r="U5077" s="1"/>
    </row>
    <row r="5078" spans="20:21" x14ac:dyDescent="0.45">
      <c r="T5078" s="17"/>
      <c r="U5078" s="1"/>
    </row>
    <row r="5079" spans="20:21" x14ac:dyDescent="0.45">
      <c r="T5079" s="17"/>
      <c r="U5079" s="1"/>
    </row>
    <row r="5080" spans="20:21" x14ac:dyDescent="0.45">
      <c r="T5080" s="17"/>
      <c r="U5080" s="1"/>
    </row>
    <row r="5081" spans="20:21" x14ac:dyDescent="0.45">
      <c r="T5081" s="17"/>
      <c r="U5081" s="1"/>
    </row>
    <row r="5082" spans="20:21" x14ac:dyDescent="0.45">
      <c r="T5082" s="17"/>
      <c r="U5082" s="1"/>
    </row>
    <row r="5083" spans="20:21" x14ac:dyDescent="0.45">
      <c r="T5083" s="17"/>
      <c r="U5083" s="1"/>
    </row>
    <row r="5084" spans="20:21" x14ac:dyDescent="0.45">
      <c r="T5084" s="17"/>
      <c r="U5084" s="1"/>
    </row>
    <row r="5085" spans="20:21" x14ac:dyDescent="0.45">
      <c r="T5085" s="17"/>
      <c r="U5085" s="1"/>
    </row>
    <row r="5086" spans="20:21" x14ac:dyDescent="0.45">
      <c r="T5086" s="17"/>
      <c r="U5086" s="1"/>
    </row>
    <row r="5087" spans="20:21" x14ac:dyDescent="0.45">
      <c r="T5087" s="17"/>
      <c r="U5087" s="1"/>
    </row>
    <row r="5088" spans="20:21" x14ac:dyDescent="0.45">
      <c r="T5088" s="17"/>
      <c r="U5088" s="1"/>
    </row>
    <row r="5089" spans="20:21" x14ac:dyDescent="0.45">
      <c r="T5089" s="17"/>
      <c r="U5089" s="1"/>
    </row>
    <row r="5090" spans="20:21" x14ac:dyDescent="0.45">
      <c r="T5090" s="17"/>
      <c r="U5090" s="1"/>
    </row>
    <row r="5091" spans="20:21" x14ac:dyDescent="0.45">
      <c r="T5091" s="17"/>
      <c r="U5091" s="1"/>
    </row>
    <row r="5092" spans="20:21" x14ac:dyDescent="0.45">
      <c r="T5092" s="17"/>
      <c r="U5092" s="1"/>
    </row>
    <row r="5093" spans="20:21" x14ac:dyDescent="0.45">
      <c r="T5093" s="17"/>
      <c r="U5093" s="1"/>
    </row>
    <row r="5094" spans="20:21" x14ac:dyDescent="0.45">
      <c r="T5094" s="17"/>
      <c r="U5094" s="1"/>
    </row>
    <row r="5095" spans="20:21" x14ac:dyDescent="0.45">
      <c r="T5095" s="17"/>
      <c r="U5095" s="1"/>
    </row>
    <row r="5096" spans="20:21" x14ac:dyDescent="0.45">
      <c r="T5096" s="17"/>
      <c r="U5096" s="1"/>
    </row>
    <row r="5097" spans="20:21" x14ac:dyDescent="0.45">
      <c r="T5097" s="17"/>
      <c r="U5097" s="1"/>
    </row>
    <row r="5098" spans="20:21" x14ac:dyDescent="0.45">
      <c r="T5098" s="17"/>
      <c r="U5098" s="1"/>
    </row>
    <row r="5099" spans="20:21" x14ac:dyDescent="0.45">
      <c r="T5099" s="17"/>
      <c r="U5099" s="1"/>
    </row>
    <row r="5100" spans="20:21" x14ac:dyDescent="0.45">
      <c r="T5100" s="17"/>
      <c r="U5100" s="1"/>
    </row>
    <row r="5101" spans="20:21" x14ac:dyDescent="0.45">
      <c r="T5101" s="17"/>
      <c r="U5101" s="1"/>
    </row>
    <row r="5102" spans="20:21" x14ac:dyDescent="0.45">
      <c r="T5102" s="17"/>
      <c r="U5102" s="1"/>
    </row>
    <row r="5103" spans="20:21" x14ac:dyDescent="0.45">
      <c r="T5103" s="17"/>
      <c r="U5103" s="1"/>
    </row>
    <row r="5104" spans="20:21" x14ac:dyDescent="0.45">
      <c r="T5104" s="17"/>
      <c r="U5104" s="1"/>
    </row>
    <row r="5105" spans="20:21" x14ac:dyDescent="0.45">
      <c r="T5105" s="17"/>
      <c r="U5105" s="1"/>
    </row>
    <row r="5106" spans="20:21" x14ac:dyDescent="0.45">
      <c r="T5106" s="17"/>
      <c r="U5106" s="1"/>
    </row>
    <row r="5107" spans="20:21" x14ac:dyDescent="0.45">
      <c r="T5107" s="17"/>
      <c r="U5107" s="1"/>
    </row>
    <row r="5108" spans="20:21" x14ac:dyDescent="0.45">
      <c r="T5108" s="17"/>
      <c r="U5108" s="1"/>
    </row>
    <row r="5109" spans="20:21" x14ac:dyDescent="0.45">
      <c r="T5109" s="17"/>
      <c r="U5109" s="1"/>
    </row>
    <row r="5110" spans="20:21" x14ac:dyDescent="0.45">
      <c r="T5110" s="17"/>
      <c r="U5110" s="1"/>
    </row>
    <row r="5111" spans="20:21" x14ac:dyDescent="0.45">
      <c r="T5111" s="17"/>
      <c r="U5111" s="1"/>
    </row>
    <row r="5112" spans="20:21" x14ac:dyDescent="0.45">
      <c r="T5112" s="17"/>
      <c r="U5112" s="1"/>
    </row>
    <row r="5113" spans="20:21" x14ac:dyDescent="0.45">
      <c r="T5113" s="17"/>
      <c r="U5113" s="1"/>
    </row>
    <row r="5114" spans="20:21" x14ac:dyDescent="0.45">
      <c r="T5114" s="17"/>
      <c r="U5114" s="1"/>
    </row>
    <row r="5115" spans="20:21" x14ac:dyDescent="0.45">
      <c r="T5115" s="17"/>
      <c r="U5115" s="1"/>
    </row>
    <row r="5116" spans="20:21" x14ac:dyDescent="0.45">
      <c r="T5116" s="17"/>
      <c r="U5116" s="1"/>
    </row>
    <row r="5117" spans="20:21" x14ac:dyDescent="0.45">
      <c r="T5117" s="17"/>
      <c r="U5117" s="1"/>
    </row>
    <row r="5118" spans="20:21" x14ac:dyDescent="0.45">
      <c r="T5118" s="17"/>
      <c r="U5118" s="1"/>
    </row>
    <row r="5119" spans="20:21" x14ac:dyDescent="0.45">
      <c r="T5119" s="17"/>
      <c r="U5119" s="1"/>
    </row>
    <row r="5120" spans="20:21" x14ac:dyDescent="0.45">
      <c r="T5120" s="17"/>
      <c r="U5120" s="1"/>
    </row>
    <row r="5121" spans="20:21" x14ac:dyDescent="0.45">
      <c r="T5121" s="17"/>
      <c r="U5121" s="1"/>
    </row>
    <row r="5122" spans="20:21" x14ac:dyDescent="0.45">
      <c r="T5122" s="17"/>
      <c r="U5122" s="1"/>
    </row>
    <row r="5123" spans="20:21" x14ac:dyDescent="0.45">
      <c r="T5123" s="17"/>
      <c r="U5123" s="1"/>
    </row>
    <row r="5124" spans="20:21" x14ac:dyDescent="0.45">
      <c r="T5124" s="17"/>
      <c r="U5124" s="1"/>
    </row>
    <row r="5125" spans="20:21" x14ac:dyDescent="0.45">
      <c r="T5125" s="17"/>
      <c r="U5125" s="1"/>
    </row>
    <row r="5126" spans="20:21" x14ac:dyDescent="0.45">
      <c r="T5126" s="17"/>
      <c r="U5126" s="1"/>
    </row>
    <row r="5127" spans="20:21" x14ac:dyDescent="0.45">
      <c r="T5127" s="17"/>
      <c r="U5127" s="1"/>
    </row>
    <row r="5128" spans="20:21" x14ac:dyDescent="0.45">
      <c r="T5128" s="17"/>
      <c r="U5128" s="1"/>
    </row>
    <row r="5129" spans="20:21" x14ac:dyDescent="0.45">
      <c r="T5129" s="17"/>
      <c r="U5129" s="1"/>
    </row>
    <row r="5130" spans="20:21" x14ac:dyDescent="0.45">
      <c r="T5130" s="17"/>
      <c r="U5130" s="1"/>
    </row>
    <row r="5131" spans="20:21" x14ac:dyDescent="0.45">
      <c r="T5131" s="17"/>
      <c r="U5131" s="1"/>
    </row>
    <row r="5132" spans="20:21" x14ac:dyDescent="0.45">
      <c r="T5132" s="17"/>
      <c r="U5132" s="1"/>
    </row>
    <row r="5133" spans="20:21" x14ac:dyDescent="0.45">
      <c r="T5133" s="17"/>
      <c r="U5133" s="1"/>
    </row>
    <row r="5134" spans="20:21" x14ac:dyDescent="0.45">
      <c r="T5134" s="17"/>
      <c r="U5134" s="1"/>
    </row>
    <row r="5135" spans="20:21" x14ac:dyDescent="0.45">
      <c r="T5135" s="17"/>
      <c r="U5135" s="1"/>
    </row>
    <row r="5136" spans="20:21" x14ac:dyDescent="0.45">
      <c r="T5136" s="17"/>
      <c r="U5136" s="1"/>
    </row>
    <row r="5137" spans="20:21" x14ac:dyDescent="0.45">
      <c r="T5137" s="17"/>
      <c r="U5137" s="1"/>
    </row>
    <row r="5138" spans="20:21" x14ac:dyDescent="0.45">
      <c r="T5138" s="17"/>
      <c r="U5138" s="1"/>
    </row>
    <row r="5139" spans="20:21" x14ac:dyDescent="0.45">
      <c r="T5139" s="17"/>
      <c r="U5139" s="1"/>
    </row>
    <row r="5140" spans="20:21" x14ac:dyDescent="0.45">
      <c r="T5140" s="17"/>
      <c r="U5140" s="1"/>
    </row>
    <row r="5141" spans="20:21" x14ac:dyDescent="0.45">
      <c r="T5141" s="17"/>
      <c r="U5141" s="1"/>
    </row>
    <row r="5142" spans="20:21" x14ac:dyDescent="0.45">
      <c r="T5142" s="17"/>
      <c r="U5142" s="1"/>
    </row>
    <row r="5143" spans="20:21" x14ac:dyDescent="0.45">
      <c r="T5143" s="17"/>
      <c r="U5143" s="1"/>
    </row>
    <row r="5144" spans="20:21" x14ac:dyDescent="0.45">
      <c r="T5144" s="17"/>
      <c r="U5144" s="1"/>
    </row>
    <row r="5145" spans="20:21" x14ac:dyDescent="0.45">
      <c r="T5145" s="17"/>
      <c r="U5145" s="1"/>
    </row>
    <row r="5146" spans="20:21" x14ac:dyDescent="0.45">
      <c r="T5146" s="17"/>
      <c r="U5146" s="1"/>
    </row>
    <row r="5147" spans="20:21" x14ac:dyDescent="0.45">
      <c r="T5147" s="17"/>
      <c r="U5147" s="1"/>
    </row>
    <row r="5148" spans="20:21" x14ac:dyDescent="0.45">
      <c r="T5148" s="17"/>
      <c r="U5148" s="1"/>
    </row>
    <row r="5149" spans="20:21" x14ac:dyDescent="0.45">
      <c r="T5149" s="17"/>
      <c r="U5149" s="1"/>
    </row>
    <row r="5150" spans="20:21" x14ac:dyDescent="0.45">
      <c r="T5150" s="17"/>
      <c r="U5150" s="1"/>
    </row>
    <row r="5151" spans="20:21" x14ac:dyDescent="0.45">
      <c r="T5151" s="17"/>
      <c r="U5151" s="1"/>
    </row>
    <row r="5152" spans="20:21" x14ac:dyDescent="0.45">
      <c r="T5152" s="17"/>
      <c r="U5152" s="1"/>
    </row>
    <row r="5153" spans="20:21" x14ac:dyDescent="0.45">
      <c r="T5153" s="17"/>
      <c r="U5153" s="1"/>
    </row>
    <row r="5154" spans="20:21" x14ac:dyDescent="0.45">
      <c r="T5154" s="17"/>
      <c r="U5154" s="1"/>
    </row>
    <row r="5155" spans="20:21" x14ac:dyDescent="0.45">
      <c r="T5155" s="17"/>
      <c r="U5155" s="1"/>
    </row>
    <row r="5156" spans="20:21" x14ac:dyDescent="0.45">
      <c r="T5156" s="17"/>
      <c r="U5156" s="1"/>
    </row>
    <row r="5157" spans="20:21" x14ac:dyDescent="0.45">
      <c r="T5157" s="17"/>
      <c r="U5157" s="1"/>
    </row>
    <row r="5158" spans="20:21" x14ac:dyDescent="0.45">
      <c r="T5158" s="17"/>
      <c r="U5158" s="1"/>
    </row>
    <row r="5159" spans="20:21" x14ac:dyDescent="0.45">
      <c r="T5159" s="17"/>
      <c r="U5159" s="1"/>
    </row>
    <row r="5160" spans="20:21" x14ac:dyDescent="0.45">
      <c r="T5160" s="17"/>
      <c r="U5160" s="1"/>
    </row>
    <row r="5161" spans="20:21" x14ac:dyDescent="0.45">
      <c r="T5161" s="17"/>
      <c r="U5161" s="1"/>
    </row>
    <row r="5162" spans="20:21" x14ac:dyDescent="0.45">
      <c r="T5162" s="17"/>
      <c r="U5162" s="1"/>
    </row>
    <row r="5163" spans="20:21" x14ac:dyDescent="0.45">
      <c r="T5163" s="17"/>
      <c r="U5163" s="1"/>
    </row>
    <row r="5164" spans="20:21" x14ac:dyDescent="0.45">
      <c r="T5164" s="17"/>
      <c r="U5164" s="1"/>
    </row>
    <row r="5165" spans="20:21" x14ac:dyDescent="0.45">
      <c r="T5165" s="17"/>
      <c r="U5165" s="1"/>
    </row>
    <row r="5166" spans="20:21" x14ac:dyDescent="0.45">
      <c r="T5166" s="17"/>
      <c r="U5166" s="1"/>
    </row>
    <row r="5167" spans="20:21" x14ac:dyDescent="0.45">
      <c r="T5167" s="17"/>
      <c r="U5167" s="1"/>
    </row>
    <row r="5168" spans="20:21" x14ac:dyDescent="0.45">
      <c r="T5168" s="17"/>
      <c r="U5168" s="1"/>
    </row>
    <row r="5169" spans="20:21" x14ac:dyDescent="0.45">
      <c r="T5169" s="17"/>
      <c r="U5169" s="1"/>
    </row>
    <row r="5170" spans="20:21" x14ac:dyDescent="0.45">
      <c r="T5170" s="17"/>
      <c r="U5170" s="1"/>
    </row>
    <row r="5171" spans="20:21" x14ac:dyDescent="0.45">
      <c r="T5171" s="17"/>
      <c r="U5171" s="1"/>
    </row>
    <row r="5172" spans="20:21" x14ac:dyDescent="0.45">
      <c r="T5172" s="17"/>
      <c r="U5172" s="1"/>
    </row>
    <row r="5173" spans="20:21" x14ac:dyDescent="0.45">
      <c r="T5173" s="17"/>
      <c r="U5173" s="1"/>
    </row>
    <row r="5174" spans="20:21" x14ac:dyDescent="0.45">
      <c r="T5174" s="17"/>
      <c r="U5174" s="1"/>
    </row>
    <row r="5175" spans="20:21" x14ac:dyDescent="0.45">
      <c r="T5175" s="17"/>
      <c r="U5175" s="1"/>
    </row>
    <row r="5176" spans="20:21" x14ac:dyDescent="0.45">
      <c r="T5176" s="17"/>
      <c r="U5176" s="1"/>
    </row>
    <row r="5177" spans="20:21" x14ac:dyDescent="0.45">
      <c r="T5177" s="17"/>
      <c r="U5177" s="1"/>
    </row>
    <row r="5178" spans="20:21" x14ac:dyDescent="0.45">
      <c r="T5178" s="17"/>
      <c r="U5178" s="1"/>
    </row>
    <row r="5179" spans="20:21" x14ac:dyDescent="0.45">
      <c r="T5179" s="17"/>
      <c r="U5179" s="1"/>
    </row>
    <row r="5180" spans="20:21" x14ac:dyDescent="0.45">
      <c r="T5180" s="17"/>
      <c r="U5180" s="1"/>
    </row>
    <row r="5181" spans="20:21" x14ac:dyDescent="0.45">
      <c r="T5181" s="17"/>
      <c r="U5181" s="1"/>
    </row>
    <row r="5182" spans="20:21" x14ac:dyDescent="0.45">
      <c r="T5182" s="17"/>
      <c r="U5182" s="1"/>
    </row>
    <row r="5183" spans="20:21" x14ac:dyDescent="0.45">
      <c r="T5183" s="17"/>
      <c r="U5183" s="1"/>
    </row>
    <row r="5184" spans="20:21" x14ac:dyDescent="0.45">
      <c r="T5184" s="17"/>
      <c r="U5184" s="1"/>
    </row>
    <row r="5185" spans="20:21" x14ac:dyDescent="0.45">
      <c r="T5185" s="17"/>
      <c r="U5185" s="1"/>
    </row>
    <row r="5186" spans="20:21" x14ac:dyDescent="0.45">
      <c r="T5186" s="17"/>
      <c r="U5186" s="1"/>
    </row>
    <row r="5187" spans="20:21" x14ac:dyDescent="0.45">
      <c r="T5187" s="17"/>
      <c r="U5187" s="1"/>
    </row>
    <row r="5188" spans="20:21" x14ac:dyDescent="0.45">
      <c r="T5188" s="17"/>
      <c r="U5188" s="1"/>
    </row>
    <row r="5189" spans="20:21" x14ac:dyDescent="0.45">
      <c r="T5189" s="17"/>
      <c r="U5189" s="1"/>
    </row>
    <row r="5190" spans="20:21" x14ac:dyDescent="0.45">
      <c r="T5190" s="17"/>
      <c r="U5190" s="1"/>
    </row>
    <row r="5191" spans="20:21" x14ac:dyDescent="0.45">
      <c r="T5191" s="17"/>
      <c r="U5191" s="1"/>
    </row>
    <row r="5192" spans="20:21" x14ac:dyDescent="0.45">
      <c r="T5192" s="17"/>
      <c r="U5192" s="1"/>
    </row>
    <row r="5193" spans="20:21" x14ac:dyDescent="0.45">
      <c r="T5193" s="17"/>
      <c r="U5193" s="1"/>
    </row>
    <row r="5194" spans="20:21" x14ac:dyDescent="0.45">
      <c r="T5194" s="17"/>
      <c r="U5194" s="1"/>
    </row>
    <row r="5195" spans="20:21" x14ac:dyDescent="0.45">
      <c r="T5195" s="17"/>
      <c r="U5195" s="1"/>
    </row>
    <row r="5196" spans="20:21" x14ac:dyDescent="0.45">
      <c r="T5196" s="17"/>
      <c r="U5196" s="1"/>
    </row>
    <row r="5197" spans="20:21" x14ac:dyDescent="0.45">
      <c r="T5197" s="17"/>
      <c r="U5197" s="1"/>
    </row>
    <row r="5198" spans="20:21" x14ac:dyDescent="0.45">
      <c r="T5198" s="17"/>
      <c r="U5198" s="1"/>
    </row>
    <row r="5199" spans="20:21" x14ac:dyDescent="0.45">
      <c r="T5199" s="17"/>
      <c r="U5199" s="1"/>
    </row>
    <row r="5200" spans="20:21" x14ac:dyDescent="0.45">
      <c r="T5200" s="17"/>
      <c r="U5200" s="1"/>
    </row>
    <row r="5201" spans="20:21" x14ac:dyDescent="0.45">
      <c r="T5201" s="17"/>
      <c r="U5201" s="1"/>
    </row>
    <row r="5202" spans="20:21" x14ac:dyDescent="0.45">
      <c r="T5202" s="17"/>
      <c r="U5202" s="1"/>
    </row>
    <row r="5203" spans="20:21" x14ac:dyDescent="0.45">
      <c r="T5203" s="17"/>
      <c r="U5203" s="1"/>
    </row>
    <row r="5204" spans="20:21" x14ac:dyDescent="0.45">
      <c r="T5204" s="17"/>
      <c r="U5204" s="1"/>
    </row>
    <row r="5205" spans="20:21" x14ac:dyDescent="0.45">
      <c r="T5205" s="17"/>
      <c r="U5205" s="1"/>
    </row>
    <row r="5206" spans="20:21" x14ac:dyDescent="0.45">
      <c r="T5206" s="17"/>
      <c r="U5206" s="1"/>
    </row>
    <row r="5207" spans="20:21" x14ac:dyDescent="0.45">
      <c r="T5207" s="17"/>
      <c r="U5207" s="1"/>
    </row>
    <row r="5208" spans="20:21" x14ac:dyDescent="0.45">
      <c r="T5208" s="17"/>
      <c r="U5208" s="1"/>
    </row>
    <row r="5209" spans="20:21" x14ac:dyDescent="0.45">
      <c r="T5209" s="17"/>
      <c r="U5209" s="1"/>
    </row>
    <row r="5210" spans="20:21" x14ac:dyDescent="0.45">
      <c r="T5210" s="17"/>
      <c r="U5210" s="1"/>
    </row>
    <row r="5211" spans="20:21" x14ac:dyDescent="0.45">
      <c r="T5211" s="17"/>
      <c r="U5211" s="1"/>
    </row>
    <row r="5212" spans="20:21" x14ac:dyDescent="0.45">
      <c r="T5212" s="17"/>
      <c r="U5212" s="1"/>
    </row>
    <row r="5213" spans="20:21" x14ac:dyDescent="0.45">
      <c r="T5213" s="17"/>
      <c r="U5213" s="1"/>
    </row>
    <row r="5214" spans="20:21" x14ac:dyDescent="0.45">
      <c r="T5214" s="17"/>
      <c r="U5214" s="1"/>
    </row>
    <row r="5215" spans="20:21" x14ac:dyDescent="0.45">
      <c r="T5215" s="17"/>
      <c r="U5215" s="1"/>
    </row>
    <row r="5216" spans="20:21" x14ac:dyDescent="0.45">
      <c r="T5216" s="17"/>
      <c r="U5216" s="1"/>
    </row>
    <row r="5217" spans="20:21" x14ac:dyDescent="0.45">
      <c r="T5217" s="17"/>
      <c r="U5217" s="1"/>
    </row>
    <row r="5218" spans="20:21" x14ac:dyDescent="0.45">
      <c r="T5218" s="17"/>
      <c r="U5218" s="1"/>
    </row>
    <row r="5219" spans="20:21" x14ac:dyDescent="0.45">
      <c r="T5219" s="17"/>
      <c r="U5219" s="1"/>
    </row>
    <row r="5220" spans="20:21" x14ac:dyDescent="0.45">
      <c r="T5220" s="17"/>
      <c r="U5220" s="1"/>
    </row>
    <row r="5221" spans="20:21" x14ac:dyDescent="0.45">
      <c r="T5221" s="17"/>
      <c r="U5221" s="1"/>
    </row>
    <row r="5222" spans="20:21" x14ac:dyDescent="0.45">
      <c r="T5222" s="17"/>
      <c r="U5222" s="1"/>
    </row>
    <row r="5223" spans="20:21" x14ac:dyDescent="0.45">
      <c r="T5223" s="17"/>
      <c r="U5223" s="1"/>
    </row>
    <row r="5224" spans="20:21" x14ac:dyDescent="0.45">
      <c r="T5224" s="17"/>
      <c r="U5224" s="1"/>
    </row>
    <row r="5225" spans="20:21" x14ac:dyDescent="0.45">
      <c r="T5225" s="17"/>
      <c r="U5225" s="1"/>
    </row>
    <row r="5226" spans="20:21" x14ac:dyDescent="0.45">
      <c r="T5226" s="17"/>
      <c r="U5226" s="1"/>
    </row>
    <row r="5227" spans="20:21" x14ac:dyDescent="0.45">
      <c r="T5227" s="17"/>
      <c r="U5227" s="1"/>
    </row>
    <row r="5228" spans="20:21" x14ac:dyDescent="0.45">
      <c r="T5228" s="17"/>
      <c r="U5228" s="1"/>
    </row>
    <row r="5229" spans="20:21" x14ac:dyDescent="0.45">
      <c r="T5229" s="17"/>
      <c r="U5229" s="1"/>
    </row>
    <row r="5230" spans="20:21" x14ac:dyDescent="0.45">
      <c r="T5230" s="17"/>
      <c r="U5230" s="1"/>
    </row>
    <row r="5231" spans="20:21" x14ac:dyDescent="0.45">
      <c r="T5231" s="17"/>
      <c r="U5231" s="1"/>
    </row>
    <row r="5232" spans="20:21" x14ac:dyDescent="0.45">
      <c r="T5232" s="17"/>
      <c r="U5232" s="1"/>
    </row>
    <row r="5233" spans="20:21" x14ac:dyDescent="0.45">
      <c r="T5233" s="17"/>
      <c r="U5233" s="1"/>
    </row>
    <row r="5234" spans="20:21" x14ac:dyDescent="0.45">
      <c r="T5234" s="17"/>
      <c r="U5234" s="1"/>
    </row>
    <row r="5235" spans="20:21" x14ac:dyDescent="0.45">
      <c r="T5235" s="17"/>
      <c r="U5235" s="1"/>
    </row>
    <row r="5236" spans="20:21" x14ac:dyDescent="0.45">
      <c r="T5236" s="17"/>
      <c r="U5236" s="1"/>
    </row>
    <row r="5237" spans="20:21" x14ac:dyDescent="0.45">
      <c r="T5237" s="17"/>
      <c r="U5237" s="1"/>
    </row>
    <row r="5238" spans="20:21" x14ac:dyDescent="0.45">
      <c r="T5238" s="17"/>
      <c r="U5238" s="1"/>
    </row>
    <row r="5239" spans="20:21" x14ac:dyDescent="0.45">
      <c r="T5239" s="17"/>
      <c r="U5239" s="1"/>
    </row>
    <row r="5240" spans="20:21" x14ac:dyDescent="0.45">
      <c r="T5240" s="17"/>
      <c r="U5240" s="1"/>
    </row>
    <row r="5241" spans="20:21" x14ac:dyDescent="0.45">
      <c r="T5241" s="17"/>
      <c r="U5241" s="1"/>
    </row>
    <row r="5242" spans="20:21" x14ac:dyDescent="0.45">
      <c r="T5242" s="17"/>
      <c r="U5242" s="1"/>
    </row>
    <row r="5243" spans="20:21" x14ac:dyDescent="0.45">
      <c r="T5243" s="17"/>
      <c r="U5243" s="1"/>
    </row>
    <row r="5244" spans="20:21" x14ac:dyDescent="0.45">
      <c r="T5244" s="17"/>
      <c r="U5244" s="1"/>
    </row>
    <row r="5245" spans="20:21" x14ac:dyDescent="0.45">
      <c r="T5245" s="17"/>
      <c r="U5245" s="1"/>
    </row>
    <row r="5246" spans="20:21" x14ac:dyDescent="0.45">
      <c r="T5246" s="17"/>
      <c r="U5246" s="1"/>
    </row>
    <row r="5247" spans="20:21" x14ac:dyDescent="0.45">
      <c r="T5247" s="17"/>
      <c r="U5247" s="1"/>
    </row>
    <row r="5248" spans="20:21" x14ac:dyDescent="0.45">
      <c r="T5248" s="17"/>
      <c r="U5248" s="1"/>
    </row>
    <row r="5249" spans="20:21" x14ac:dyDescent="0.45">
      <c r="T5249" s="17"/>
      <c r="U5249" s="1"/>
    </row>
    <row r="5250" spans="20:21" x14ac:dyDescent="0.45">
      <c r="T5250" s="17"/>
      <c r="U5250" s="1"/>
    </row>
    <row r="5251" spans="20:21" x14ac:dyDescent="0.45">
      <c r="T5251" s="17"/>
      <c r="U5251" s="1"/>
    </row>
    <row r="5252" spans="20:21" x14ac:dyDescent="0.45">
      <c r="T5252" s="17"/>
      <c r="U5252" s="1"/>
    </row>
    <row r="5253" spans="20:21" x14ac:dyDescent="0.45">
      <c r="T5253" s="17"/>
      <c r="U5253" s="1"/>
    </row>
    <row r="5254" spans="20:21" x14ac:dyDescent="0.45">
      <c r="T5254" s="17"/>
      <c r="U5254" s="1"/>
    </row>
    <row r="5255" spans="20:21" x14ac:dyDescent="0.45">
      <c r="T5255" s="17"/>
      <c r="U5255" s="1"/>
    </row>
    <row r="5256" spans="20:21" x14ac:dyDescent="0.45">
      <c r="T5256" s="17"/>
      <c r="U5256" s="1"/>
    </row>
    <row r="5257" spans="20:21" x14ac:dyDescent="0.45">
      <c r="T5257" s="17"/>
      <c r="U5257" s="1"/>
    </row>
    <row r="5258" spans="20:21" x14ac:dyDescent="0.45">
      <c r="T5258" s="17"/>
      <c r="U5258" s="1"/>
    </row>
    <row r="5259" spans="20:21" x14ac:dyDescent="0.45">
      <c r="T5259" s="17"/>
      <c r="U5259" s="1"/>
    </row>
    <row r="5260" spans="20:21" x14ac:dyDescent="0.45">
      <c r="T5260" s="17"/>
      <c r="U5260" s="1"/>
    </row>
    <row r="5261" spans="20:21" x14ac:dyDescent="0.45">
      <c r="T5261" s="17"/>
      <c r="U5261" s="1"/>
    </row>
    <row r="5262" spans="20:21" x14ac:dyDescent="0.45">
      <c r="T5262" s="17"/>
      <c r="U5262" s="1"/>
    </row>
    <row r="5263" spans="20:21" x14ac:dyDescent="0.45">
      <c r="T5263" s="17"/>
      <c r="U5263" s="1"/>
    </row>
    <row r="5264" spans="20:21" x14ac:dyDescent="0.45">
      <c r="T5264" s="17"/>
      <c r="U5264" s="1"/>
    </row>
    <row r="5265" spans="20:21" x14ac:dyDescent="0.45">
      <c r="T5265" s="17"/>
      <c r="U5265" s="1"/>
    </row>
    <row r="5266" spans="20:21" x14ac:dyDescent="0.45">
      <c r="T5266" s="17"/>
      <c r="U5266" s="1"/>
    </row>
    <row r="5267" spans="20:21" x14ac:dyDescent="0.45">
      <c r="T5267" s="17"/>
      <c r="U5267" s="1"/>
    </row>
    <row r="5268" spans="20:21" x14ac:dyDescent="0.45">
      <c r="T5268" s="17"/>
      <c r="U5268" s="1"/>
    </row>
    <row r="5269" spans="20:21" x14ac:dyDescent="0.45">
      <c r="T5269" s="17"/>
      <c r="U5269" s="1"/>
    </row>
    <row r="5270" spans="20:21" x14ac:dyDescent="0.45">
      <c r="T5270" s="17"/>
      <c r="U5270" s="1"/>
    </row>
    <row r="5271" spans="20:21" x14ac:dyDescent="0.45">
      <c r="T5271" s="17"/>
      <c r="U5271" s="1"/>
    </row>
    <row r="5272" spans="20:21" x14ac:dyDescent="0.45">
      <c r="T5272" s="17"/>
      <c r="U5272" s="1"/>
    </row>
    <row r="5273" spans="20:21" x14ac:dyDescent="0.45">
      <c r="T5273" s="17"/>
      <c r="U5273" s="1"/>
    </row>
    <row r="5274" spans="20:21" x14ac:dyDescent="0.45">
      <c r="T5274" s="17"/>
      <c r="U5274" s="1"/>
    </row>
    <row r="5275" spans="20:21" x14ac:dyDescent="0.45">
      <c r="T5275" s="17"/>
      <c r="U5275" s="1"/>
    </row>
    <row r="5276" spans="20:21" x14ac:dyDescent="0.45">
      <c r="T5276" s="17"/>
      <c r="U5276" s="1"/>
    </row>
    <row r="5277" spans="20:21" x14ac:dyDescent="0.45">
      <c r="T5277" s="17"/>
      <c r="U5277" s="1"/>
    </row>
    <row r="5278" spans="20:21" x14ac:dyDescent="0.45">
      <c r="T5278" s="17"/>
      <c r="U5278" s="1"/>
    </row>
    <row r="5279" spans="20:21" x14ac:dyDescent="0.45">
      <c r="T5279" s="17"/>
      <c r="U5279" s="1"/>
    </row>
    <row r="5280" spans="20:21" x14ac:dyDescent="0.45">
      <c r="T5280" s="17"/>
      <c r="U5280" s="1"/>
    </row>
    <row r="5281" spans="20:21" x14ac:dyDescent="0.45">
      <c r="T5281" s="17"/>
      <c r="U5281" s="1"/>
    </row>
    <row r="5282" spans="20:21" x14ac:dyDescent="0.45">
      <c r="T5282" s="17"/>
      <c r="U5282" s="1"/>
    </row>
    <row r="5283" spans="20:21" x14ac:dyDescent="0.45">
      <c r="T5283" s="17"/>
      <c r="U5283" s="1"/>
    </row>
    <row r="5284" spans="20:21" x14ac:dyDescent="0.45">
      <c r="T5284" s="17"/>
      <c r="U5284" s="1"/>
    </row>
    <row r="5285" spans="20:21" x14ac:dyDescent="0.45">
      <c r="T5285" s="17"/>
      <c r="U5285" s="1"/>
    </row>
    <row r="5286" spans="20:21" x14ac:dyDescent="0.45">
      <c r="T5286" s="17"/>
      <c r="U5286" s="1"/>
    </row>
    <row r="5287" spans="20:21" x14ac:dyDescent="0.45">
      <c r="T5287" s="17"/>
      <c r="U5287" s="1"/>
    </row>
    <row r="5288" spans="20:21" x14ac:dyDescent="0.45">
      <c r="T5288" s="17"/>
      <c r="U5288" s="1"/>
    </row>
    <row r="5289" spans="20:21" x14ac:dyDescent="0.45">
      <c r="T5289" s="17"/>
      <c r="U5289" s="1"/>
    </row>
    <row r="5290" spans="20:21" x14ac:dyDescent="0.45">
      <c r="T5290" s="17"/>
      <c r="U5290" s="1"/>
    </row>
    <row r="5291" spans="20:21" x14ac:dyDescent="0.45">
      <c r="T5291" s="17"/>
      <c r="U5291" s="1"/>
    </row>
    <row r="5292" spans="20:21" x14ac:dyDescent="0.45">
      <c r="T5292" s="17"/>
      <c r="U5292" s="1"/>
    </row>
    <row r="5293" spans="20:21" x14ac:dyDescent="0.45">
      <c r="T5293" s="17"/>
      <c r="U5293" s="1"/>
    </row>
    <row r="5294" spans="20:21" x14ac:dyDescent="0.45">
      <c r="T5294" s="17"/>
      <c r="U5294" s="1"/>
    </row>
    <row r="5295" spans="20:21" x14ac:dyDescent="0.45">
      <c r="T5295" s="17"/>
      <c r="U5295" s="1"/>
    </row>
    <row r="5296" spans="20:21" x14ac:dyDescent="0.45">
      <c r="T5296" s="17"/>
      <c r="U5296" s="1"/>
    </row>
    <row r="5297" spans="20:21" x14ac:dyDescent="0.45">
      <c r="T5297" s="17"/>
      <c r="U5297" s="1"/>
    </row>
    <row r="5298" spans="20:21" x14ac:dyDescent="0.45">
      <c r="T5298" s="17"/>
      <c r="U5298" s="1"/>
    </row>
    <row r="5299" spans="20:21" x14ac:dyDescent="0.45">
      <c r="T5299" s="17"/>
      <c r="U5299" s="1"/>
    </row>
    <row r="5300" spans="20:21" x14ac:dyDescent="0.45">
      <c r="T5300" s="17"/>
      <c r="U5300" s="1"/>
    </row>
    <row r="5301" spans="20:21" x14ac:dyDescent="0.45">
      <c r="T5301" s="17"/>
      <c r="U5301" s="1"/>
    </row>
    <row r="5302" spans="20:21" x14ac:dyDescent="0.45">
      <c r="T5302" s="17"/>
      <c r="U5302" s="1"/>
    </row>
    <row r="5303" spans="20:21" x14ac:dyDescent="0.45">
      <c r="T5303" s="17"/>
      <c r="U5303" s="1"/>
    </row>
    <row r="5304" spans="20:21" x14ac:dyDescent="0.45">
      <c r="T5304" s="17"/>
      <c r="U5304" s="1"/>
    </row>
    <row r="5305" spans="20:21" x14ac:dyDescent="0.45">
      <c r="T5305" s="17"/>
      <c r="U5305" s="1"/>
    </row>
    <row r="5306" spans="20:21" x14ac:dyDescent="0.45">
      <c r="T5306" s="17"/>
      <c r="U5306" s="1"/>
    </row>
    <row r="5307" spans="20:21" x14ac:dyDescent="0.45">
      <c r="T5307" s="17"/>
      <c r="U5307" s="1"/>
    </row>
    <row r="5308" spans="20:21" x14ac:dyDescent="0.45">
      <c r="T5308" s="17"/>
      <c r="U5308" s="1"/>
    </row>
    <row r="5309" spans="20:21" x14ac:dyDescent="0.45">
      <c r="T5309" s="17"/>
      <c r="U5309" s="1"/>
    </row>
    <row r="5310" spans="20:21" x14ac:dyDescent="0.45">
      <c r="T5310" s="17"/>
      <c r="U5310" s="1"/>
    </row>
    <row r="5311" spans="20:21" x14ac:dyDescent="0.45">
      <c r="T5311" s="17"/>
      <c r="U5311" s="1"/>
    </row>
    <row r="5312" spans="20:21" x14ac:dyDescent="0.45">
      <c r="T5312" s="17"/>
      <c r="U5312" s="1"/>
    </row>
    <row r="5313" spans="20:21" x14ac:dyDescent="0.45">
      <c r="T5313" s="17"/>
      <c r="U5313" s="1"/>
    </row>
    <row r="5314" spans="20:21" x14ac:dyDescent="0.45">
      <c r="T5314" s="17"/>
      <c r="U5314" s="1"/>
    </row>
    <row r="5315" spans="20:21" x14ac:dyDescent="0.45">
      <c r="T5315" s="17"/>
      <c r="U5315" s="1"/>
    </row>
    <row r="5316" spans="20:21" x14ac:dyDescent="0.45">
      <c r="T5316" s="17"/>
      <c r="U5316" s="1"/>
    </row>
    <row r="5317" spans="20:21" x14ac:dyDescent="0.45">
      <c r="T5317" s="17"/>
      <c r="U5317" s="1"/>
    </row>
    <row r="5318" spans="20:21" x14ac:dyDescent="0.45">
      <c r="T5318" s="17"/>
      <c r="U5318" s="1"/>
    </row>
    <row r="5319" spans="20:21" x14ac:dyDescent="0.45">
      <c r="T5319" s="17"/>
      <c r="U5319" s="1"/>
    </row>
    <row r="5320" spans="20:21" x14ac:dyDescent="0.45">
      <c r="T5320" s="17"/>
      <c r="U5320" s="1"/>
    </row>
    <row r="5321" spans="20:21" x14ac:dyDescent="0.45">
      <c r="T5321" s="17"/>
      <c r="U5321" s="1"/>
    </row>
    <row r="5322" spans="20:21" x14ac:dyDescent="0.45">
      <c r="T5322" s="17"/>
      <c r="U5322" s="1"/>
    </row>
    <row r="5323" spans="20:21" x14ac:dyDescent="0.45">
      <c r="T5323" s="17"/>
      <c r="U5323" s="1"/>
    </row>
    <row r="5324" spans="20:21" x14ac:dyDescent="0.45">
      <c r="T5324" s="17"/>
      <c r="U5324" s="1"/>
    </row>
    <row r="5325" spans="20:21" x14ac:dyDescent="0.45">
      <c r="T5325" s="17"/>
      <c r="U5325" s="1"/>
    </row>
    <row r="5326" spans="20:21" x14ac:dyDescent="0.45">
      <c r="T5326" s="17"/>
      <c r="U5326" s="1"/>
    </row>
    <row r="5327" spans="20:21" x14ac:dyDescent="0.45">
      <c r="T5327" s="17"/>
      <c r="U5327" s="1"/>
    </row>
    <row r="5328" spans="20:21" x14ac:dyDescent="0.45">
      <c r="T5328" s="17"/>
      <c r="U5328" s="1"/>
    </row>
    <row r="5329" spans="20:21" x14ac:dyDescent="0.45">
      <c r="T5329" s="17"/>
      <c r="U5329" s="1"/>
    </row>
    <row r="5330" spans="20:21" x14ac:dyDescent="0.45">
      <c r="T5330" s="17"/>
      <c r="U5330" s="1"/>
    </row>
    <row r="5331" spans="20:21" x14ac:dyDescent="0.45">
      <c r="T5331" s="17"/>
      <c r="U5331" s="1"/>
    </row>
    <row r="5332" spans="20:21" x14ac:dyDescent="0.45">
      <c r="T5332" s="17"/>
      <c r="U5332" s="1"/>
    </row>
    <row r="5333" spans="20:21" x14ac:dyDescent="0.45">
      <c r="T5333" s="17"/>
      <c r="U5333" s="1"/>
    </row>
    <row r="5334" spans="20:21" x14ac:dyDescent="0.45">
      <c r="T5334" s="17"/>
      <c r="U5334" s="1"/>
    </row>
    <row r="5335" spans="20:21" x14ac:dyDescent="0.45">
      <c r="T5335" s="17"/>
      <c r="U5335" s="1"/>
    </row>
    <row r="5336" spans="20:21" x14ac:dyDescent="0.45">
      <c r="T5336" s="17"/>
      <c r="U5336" s="1"/>
    </row>
    <row r="5337" spans="20:21" x14ac:dyDescent="0.45">
      <c r="T5337" s="17"/>
      <c r="U5337" s="1"/>
    </row>
    <row r="5338" spans="20:21" x14ac:dyDescent="0.45">
      <c r="T5338" s="17"/>
      <c r="U5338" s="1"/>
    </row>
    <row r="5339" spans="20:21" x14ac:dyDescent="0.45">
      <c r="T5339" s="17"/>
      <c r="U5339" s="1"/>
    </row>
    <row r="5340" spans="20:21" x14ac:dyDescent="0.45">
      <c r="T5340" s="17"/>
      <c r="U5340" s="1"/>
    </row>
    <row r="5341" spans="20:21" x14ac:dyDescent="0.45">
      <c r="T5341" s="17"/>
      <c r="U5341" s="1"/>
    </row>
    <row r="5342" spans="20:21" x14ac:dyDescent="0.45">
      <c r="T5342" s="17"/>
      <c r="U5342" s="1"/>
    </row>
    <row r="5343" spans="20:21" x14ac:dyDescent="0.45">
      <c r="T5343" s="17"/>
      <c r="U5343" s="1"/>
    </row>
    <row r="5344" spans="20:21" x14ac:dyDescent="0.45">
      <c r="T5344" s="17"/>
      <c r="U5344" s="1"/>
    </row>
    <row r="5345" spans="20:21" x14ac:dyDescent="0.45">
      <c r="T5345" s="17"/>
      <c r="U5345" s="1"/>
    </row>
    <row r="5346" spans="20:21" x14ac:dyDescent="0.45">
      <c r="T5346" s="17"/>
      <c r="U5346" s="1"/>
    </row>
    <row r="5347" spans="20:21" x14ac:dyDescent="0.45">
      <c r="T5347" s="17"/>
      <c r="U5347" s="1"/>
    </row>
    <row r="5348" spans="20:21" x14ac:dyDescent="0.45">
      <c r="T5348" s="17"/>
      <c r="U5348" s="1"/>
    </row>
    <row r="5349" spans="20:21" x14ac:dyDescent="0.45">
      <c r="T5349" s="17"/>
      <c r="U5349" s="1"/>
    </row>
    <row r="5350" spans="20:21" x14ac:dyDescent="0.45">
      <c r="T5350" s="17"/>
      <c r="U5350" s="1"/>
    </row>
    <row r="5351" spans="20:21" x14ac:dyDescent="0.45">
      <c r="T5351" s="17"/>
      <c r="U5351" s="1"/>
    </row>
    <row r="5352" spans="20:21" x14ac:dyDescent="0.45">
      <c r="T5352" s="17"/>
      <c r="U5352" s="1"/>
    </row>
    <row r="5353" spans="20:21" x14ac:dyDescent="0.45">
      <c r="T5353" s="17"/>
      <c r="U5353" s="1"/>
    </row>
    <row r="5354" spans="20:21" x14ac:dyDescent="0.45">
      <c r="T5354" s="17"/>
      <c r="U5354" s="1"/>
    </row>
    <row r="5355" spans="20:21" x14ac:dyDescent="0.45">
      <c r="T5355" s="17"/>
      <c r="U5355" s="1"/>
    </row>
    <row r="5356" spans="20:21" x14ac:dyDescent="0.45">
      <c r="T5356" s="17"/>
      <c r="U5356" s="1"/>
    </row>
    <row r="5357" spans="20:21" x14ac:dyDescent="0.45">
      <c r="T5357" s="17"/>
      <c r="U5357" s="1"/>
    </row>
    <row r="5358" spans="20:21" x14ac:dyDescent="0.45">
      <c r="T5358" s="17"/>
      <c r="U5358" s="1"/>
    </row>
    <row r="5359" spans="20:21" x14ac:dyDescent="0.45">
      <c r="T5359" s="17"/>
      <c r="U5359" s="1"/>
    </row>
    <row r="5360" spans="20:21" x14ac:dyDescent="0.45">
      <c r="T5360" s="17"/>
      <c r="U5360" s="1"/>
    </row>
    <row r="5361" spans="20:21" x14ac:dyDescent="0.45">
      <c r="T5361" s="17"/>
      <c r="U5361" s="1"/>
    </row>
    <row r="5362" spans="20:21" x14ac:dyDescent="0.45">
      <c r="T5362" s="17"/>
      <c r="U5362" s="1"/>
    </row>
    <row r="5363" spans="20:21" x14ac:dyDescent="0.45">
      <c r="T5363" s="17"/>
      <c r="U5363" s="1"/>
    </row>
    <row r="5364" spans="20:21" x14ac:dyDescent="0.45">
      <c r="T5364" s="17"/>
      <c r="U5364" s="1"/>
    </row>
    <row r="5365" spans="20:21" x14ac:dyDescent="0.45">
      <c r="T5365" s="17"/>
      <c r="U5365" s="1"/>
    </row>
    <row r="5366" spans="20:21" x14ac:dyDescent="0.45">
      <c r="T5366" s="17"/>
      <c r="U5366" s="1"/>
    </row>
    <row r="5367" spans="20:21" x14ac:dyDescent="0.45">
      <c r="T5367" s="17"/>
      <c r="U5367" s="1"/>
    </row>
    <row r="5368" spans="20:21" x14ac:dyDescent="0.45">
      <c r="T5368" s="17"/>
      <c r="U5368" s="1"/>
    </row>
    <row r="5369" spans="20:21" x14ac:dyDescent="0.45">
      <c r="T5369" s="17"/>
      <c r="U5369" s="1"/>
    </row>
    <row r="5370" spans="20:21" x14ac:dyDescent="0.45">
      <c r="T5370" s="17"/>
      <c r="U5370" s="1"/>
    </row>
    <row r="5371" spans="20:21" x14ac:dyDescent="0.45">
      <c r="T5371" s="17"/>
      <c r="U5371" s="1"/>
    </row>
    <row r="5372" spans="20:21" x14ac:dyDescent="0.45">
      <c r="T5372" s="17"/>
      <c r="U5372" s="1"/>
    </row>
    <row r="5373" spans="20:21" x14ac:dyDescent="0.45">
      <c r="T5373" s="17"/>
      <c r="U5373" s="1"/>
    </row>
    <row r="5374" spans="20:21" x14ac:dyDescent="0.45">
      <c r="T5374" s="17"/>
      <c r="U5374" s="1"/>
    </row>
    <row r="5375" spans="20:21" x14ac:dyDescent="0.45">
      <c r="T5375" s="17"/>
      <c r="U5375" s="1"/>
    </row>
    <row r="5376" spans="20:21" x14ac:dyDescent="0.45">
      <c r="T5376" s="17"/>
      <c r="U5376" s="1"/>
    </row>
    <row r="5377" spans="20:21" x14ac:dyDescent="0.45">
      <c r="T5377" s="17"/>
      <c r="U5377" s="1"/>
    </row>
    <row r="5378" spans="20:21" x14ac:dyDescent="0.45">
      <c r="T5378" s="17"/>
      <c r="U5378" s="1"/>
    </row>
    <row r="5379" spans="20:21" x14ac:dyDescent="0.45">
      <c r="T5379" s="17"/>
      <c r="U5379" s="1"/>
    </row>
    <row r="5380" spans="20:21" x14ac:dyDescent="0.45">
      <c r="T5380" s="17"/>
      <c r="U5380" s="1"/>
    </row>
    <row r="5381" spans="20:21" x14ac:dyDescent="0.45">
      <c r="T5381" s="17"/>
      <c r="U5381" s="1"/>
    </row>
    <row r="5382" spans="20:21" x14ac:dyDescent="0.45">
      <c r="T5382" s="17"/>
      <c r="U5382" s="1"/>
    </row>
    <row r="5383" spans="20:21" x14ac:dyDescent="0.45">
      <c r="T5383" s="17"/>
      <c r="U5383" s="1"/>
    </row>
    <row r="5384" spans="20:21" x14ac:dyDescent="0.45">
      <c r="T5384" s="17"/>
      <c r="U5384" s="1"/>
    </row>
    <row r="5385" spans="20:21" x14ac:dyDescent="0.45">
      <c r="T5385" s="17"/>
      <c r="U5385" s="1"/>
    </row>
    <row r="5386" spans="20:21" x14ac:dyDescent="0.45">
      <c r="T5386" s="17"/>
      <c r="U5386" s="1"/>
    </row>
    <row r="5387" spans="20:21" x14ac:dyDescent="0.45">
      <c r="T5387" s="17"/>
      <c r="U5387" s="1"/>
    </row>
    <row r="5388" spans="20:21" x14ac:dyDescent="0.45">
      <c r="T5388" s="17"/>
      <c r="U5388" s="1"/>
    </row>
    <row r="5389" spans="20:21" x14ac:dyDescent="0.45">
      <c r="T5389" s="17"/>
      <c r="U5389" s="1"/>
    </row>
    <row r="5390" spans="20:21" x14ac:dyDescent="0.45">
      <c r="T5390" s="17"/>
      <c r="U5390" s="1"/>
    </row>
    <row r="5391" spans="20:21" x14ac:dyDescent="0.45">
      <c r="T5391" s="17"/>
      <c r="U5391" s="1"/>
    </row>
    <row r="5392" spans="20:21" x14ac:dyDescent="0.45">
      <c r="T5392" s="17"/>
      <c r="U5392" s="1"/>
    </row>
    <row r="5393" spans="20:21" x14ac:dyDescent="0.45">
      <c r="T5393" s="17"/>
      <c r="U5393" s="1"/>
    </row>
    <row r="5394" spans="20:21" x14ac:dyDescent="0.45">
      <c r="T5394" s="17"/>
      <c r="U5394" s="1"/>
    </row>
    <row r="5395" spans="20:21" x14ac:dyDescent="0.45">
      <c r="T5395" s="17"/>
      <c r="U5395" s="1"/>
    </row>
    <row r="5396" spans="20:21" x14ac:dyDescent="0.45">
      <c r="T5396" s="17"/>
      <c r="U5396" s="1"/>
    </row>
    <row r="5397" spans="20:21" x14ac:dyDescent="0.45">
      <c r="T5397" s="17"/>
      <c r="U5397" s="1"/>
    </row>
    <row r="5398" spans="20:21" x14ac:dyDescent="0.45">
      <c r="T5398" s="17"/>
      <c r="U5398" s="1"/>
    </row>
    <row r="5399" spans="20:21" x14ac:dyDescent="0.45">
      <c r="T5399" s="17"/>
      <c r="U5399" s="1"/>
    </row>
    <row r="5400" spans="20:21" x14ac:dyDescent="0.45">
      <c r="T5400" s="17"/>
      <c r="U5400" s="1"/>
    </row>
    <row r="5401" spans="20:21" x14ac:dyDescent="0.45">
      <c r="T5401" s="17"/>
      <c r="U5401" s="1"/>
    </row>
    <row r="5402" spans="20:21" x14ac:dyDescent="0.45">
      <c r="T5402" s="17"/>
      <c r="U5402" s="1"/>
    </row>
    <row r="5403" spans="20:21" x14ac:dyDescent="0.45">
      <c r="T5403" s="17"/>
      <c r="U5403" s="1"/>
    </row>
    <row r="5404" spans="20:21" x14ac:dyDescent="0.45">
      <c r="T5404" s="17"/>
      <c r="U5404" s="1"/>
    </row>
    <row r="5405" spans="20:21" x14ac:dyDescent="0.45">
      <c r="T5405" s="17"/>
      <c r="U5405" s="1"/>
    </row>
    <row r="5406" spans="20:21" x14ac:dyDescent="0.45">
      <c r="T5406" s="17"/>
      <c r="U5406" s="1"/>
    </row>
    <row r="5407" spans="20:21" x14ac:dyDescent="0.45">
      <c r="T5407" s="17"/>
      <c r="U5407" s="1"/>
    </row>
    <row r="5408" spans="20:21" x14ac:dyDescent="0.45">
      <c r="T5408" s="17"/>
      <c r="U5408" s="1"/>
    </row>
    <row r="5409" spans="20:21" x14ac:dyDescent="0.45">
      <c r="T5409" s="17"/>
      <c r="U5409" s="1"/>
    </row>
    <row r="5410" spans="20:21" x14ac:dyDescent="0.45">
      <c r="T5410" s="17"/>
      <c r="U5410" s="1"/>
    </row>
    <row r="5411" spans="20:21" x14ac:dyDescent="0.45">
      <c r="T5411" s="17"/>
      <c r="U5411" s="1"/>
    </row>
    <row r="5412" spans="20:21" x14ac:dyDescent="0.45">
      <c r="T5412" s="17"/>
      <c r="U5412" s="1"/>
    </row>
    <row r="5413" spans="20:21" x14ac:dyDescent="0.45">
      <c r="T5413" s="17"/>
      <c r="U5413" s="1"/>
    </row>
    <row r="5414" spans="20:21" x14ac:dyDescent="0.45">
      <c r="T5414" s="17"/>
      <c r="U5414" s="1"/>
    </row>
    <row r="5415" spans="20:21" x14ac:dyDescent="0.45">
      <c r="T5415" s="17"/>
      <c r="U5415" s="1"/>
    </row>
    <row r="5416" spans="20:21" x14ac:dyDescent="0.45">
      <c r="T5416" s="17"/>
      <c r="U5416" s="1"/>
    </row>
    <row r="5417" spans="20:21" x14ac:dyDescent="0.45">
      <c r="T5417" s="17"/>
      <c r="U5417" s="1"/>
    </row>
    <row r="5418" spans="20:21" x14ac:dyDescent="0.45">
      <c r="T5418" s="17"/>
      <c r="U5418" s="1"/>
    </row>
    <row r="5419" spans="20:21" x14ac:dyDescent="0.45">
      <c r="T5419" s="17"/>
      <c r="U5419" s="1"/>
    </row>
    <row r="5420" spans="20:21" x14ac:dyDescent="0.45">
      <c r="T5420" s="17"/>
      <c r="U5420" s="1"/>
    </row>
    <row r="5421" spans="20:21" x14ac:dyDescent="0.45">
      <c r="T5421" s="17"/>
      <c r="U5421" s="1"/>
    </row>
    <row r="5422" spans="20:21" x14ac:dyDescent="0.45">
      <c r="T5422" s="17"/>
      <c r="U5422" s="1"/>
    </row>
    <row r="5423" spans="20:21" x14ac:dyDescent="0.45">
      <c r="T5423" s="17"/>
      <c r="U5423" s="1"/>
    </row>
    <row r="5424" spans="20:21" x14ac:dyDescent="0.45">
      <c r="T5424" s="17"/>
      <c r="U5424" s="1"/>
    </row>
    <row r="5425" spans="20:21" x14ac:dyDescent="0.45">
      <c r="T5425" s="17"/>
      <c r="U5425" s="1"/>
    </row>
    <row r="5426" spans="20:21" x14ac:dyDescent="0.45">
      <c r="T5426" s="17"/>
      <c r="U5426" s="1"/>
    </row>
    <row r="5427" spans="20:21" x14ac:dyDescent="0.45">
      <c r="T5427" s="17"/>
      <c r="U5427" s="1"/>
    </row>
    <row r="5428" spans="20:21" x14ac:dyDescent="0.45">
      <c r="T5428" s="17"/>
      <c r="U5428" s="1"/>
    </row>
    <row r="5429" spans="20:21" x14ac:dyDescent="0.45">
      <c r="T5429" s="17"/>
      <c r="U5429" s="1"/>
    </row>
    <row r="5430" spans="20:21" x14ac:dyDescent="0.45">
      <c r="T5430" s="17"/>
      <c r="U5430" s="1"/>
    </row>
    <row r="5431" spans="20:21" x14ac:dyDescent="0.45">
      <c r="T5431" s="17"/>
      <c r="U5431" s="1"/>
    </row>
    <row r="5432" spans="20:21" x14ac:dyDescent="0.45">
      <c r="T5432" s="17"/>
      <c r="U5432" s="1"/>
    </row>
    <row r="5433" spans="20:21" x14ac:dyDescent="0.45">
      <c r="T5433" s="17"/>
      <c r="U5433" s="1"/>
    </row>
    <row r="5434" spans="20:21" x14ac:dyDescent="0.45">
      <c r="T5434" s="17"/>
      <c r="U5434" s="1"/>
    </row>
    <row r="5435" spans="20:21" x14ac:dyDescent="0.45">
      <c r="T5435" s="17"/>
      <c r="U5435" s="1"/>
    </row>
    <row r="5436" spans="20:21" x14ac:dyDescent="0.45">
      <c r="T5436" s="17"/>
      <c r="U5436" s="1"/>
    </row>
    <row r="5437" spans="20:21" x14ac:dyDescent="0.45">
      <c r="T5437" s="17"/>
      <c r="U5437" s="1"/>
    </row>
    <row r="5438" spans="20:21" x14ac:dyDescent="0.45">
      <c r="T5438" s="17"/>
      <c r="U5438" s="1"/>
    </row>
    <row r="5439" spans="20:21" x14ac:dyDescent="0.45">
      <c r="T5439" s="17"/>
      <c r="U5439" s="1"/>
    </row>
    <row r="5440" spans="20:21" x14ac:dyDescent="0.45">
      <c r="T5440" s="17"/>
      <c r="U5440" s="1"/>
    </row>
    <row r="5441" spans="20:21" x14ac:dyDescent="0.45">
      <c r="T5441" s="17"/>
      <c r="U5441" s="1"/>
    </row>
    <row r="5442" spans="20:21" x14ac:dyDescent="0.45">
      <c r="T5442" s="17"/>
      <c r="U5442" s="1"/>
    </row>
    <row r="5443" spans="20:21" x14ac:dyDescent="0.45">
      <c r="T5443" s="17"/>
      <c r="U5443" s="1"/>
    </row>
    <row r="5444" spans="20:21" x14ac:dyDescent="0.45">
      <c r="T5444" s="17"/>
      <c r="U5444" s="1"/>
    </row>
    <row r="5445" spans="20:21" x14ac:dyDescent="0.45">
      <c r="T5445" s="17"/>
      <c r="U5445" s="1"/>
    </row>
    <row r="5446" spans="20:21" x14ac:dyDescent="0.45">
      <c r="T5446" s="17"/>
      <c r="U5446" s="1"/>
    </row>
    <row r="5447" spans="20:21" x14ac:dyDescent="0.45">
      <c r="T5447" s="17"/>
      <c r="U5447" s="1"/>
    </row>
    <row r="5448" spans="20:21" x14ac:dyDescent="0.45">
      <c r="T5448" s="17"/>
      <c r="U5448" s="1"/>
    </row>
    <row r="5449" spans="20:21" x14ac:dyDescent="0.45">
      <c r="T5449" s="17"/>
      <c r="U5449" s="1"/>
    </row>
    <row r="5450" spans="20:21" x14ac:dyDescent="0.45">
      <c r="T5450" s="17"/>
      <c r="U5450" s="1"/>
    </row>
    <row r="5451" spans="20:21" x14ac:dyDescent="0.45">
      <c r="T5451" s="17"/>
      <c r="U5451" s="1"/>
    </row>
    <row r="5452" spans="20:21" x14ac:dyDescent="0.45">
      <c r="T5452" s="17"/>
      <c r="U5452" s="1"/>
    </row>
    <row r="5453" spans="20:21" x14ac:dyDescent="0.45">
      <c r="T5453" s="17"/>
      <c r="U5453" s="1"/>
    </row>
    <row r="5454" spans="20:21" x14ac:dyDescent="0.45">
      <c r="T5454" s="17"/>
      <c r="U5454" s="1"/>
    </row>
    <row r="5455" spans="20:21" x14ac:dyDescent="0.45">
      <c r="T5455" s="17"/>
      <c r="U5455" s="1"/>
    </row>
    <row r="5456" spans="20:21" x14ac:dyDescent="0.45">
      <c r="T5456" s="17"/>
      <c r="U5456" s="1"/>
    </row>
    <row r="5457" spans="20:21" x14ac:dyDescent="0.45">
      <c r="T5457" s="17"/>
      <c r="U5457" s="1"/>
    </row>
    <row r="5458" spans="20:21" x14ac:dyDescent="0.45">
      <c r="T5458" s="17"/>
      <c r="U5458" s="1"/>
    </row>
    <row r="5459" spans="20:21" x14ac:dyDescent="0.45">
      <c r="T5459" s="17"/>
      <c r="U5459" s="1"/>
    </row>
    <row r="5460" spans="20:21" x14ac:dyDescent="0.45">
      <c r="T5460" s="17"/>
      <c r="U5460" s="1"/>
    </row>
    <row r="5461" spans="20:21" x14ac:dyDescent="0.45">
      <c r="T5461" s="17"/>
      <c r="U5461" s="1"/>
    </row>
    <row r="5462" spans="20:21" x14ac:dyDescent="0.45">
      <c r="T5462" s="17"/>
      <c r="U5462" s="1"/>
    </row>
    <row r="5463" spans="20:21" x14ac:dyDescent="0.45">
      <c r="T5463" s="17"/>
      <c r="U5463" s="1"/>
    </row>
    <row r="5464" spans="20:21" x14ac:dyDescent="0.45">
      <c r="T5464" s="17"/>
      <c r="U5464" s="1"/>
    </row>
    <row r="5465" spans="20:21" x14ac:dyDescent="0.45">
      <c r="T5465" s="17"/>
      <c r="U5465" s="1"/>
    </row>
    <row r="5466" spans="20:21" x14ac:dyDescent="0.45">
      <c r="T5466" s="17"/>
      <c r="U5466" s="1"/>
    </row>
    <row r="5467" spans="20:21" x14ac:dyDescent="0.45">
      <c r="T5467" s="17"/>
      <c r="U5467" s="1"/>
    </row>
    <row r="5468" spans="20:21" x14ac:dyDescent="0.45">
      <c r="T5468" s="17"/>
      <c r="U5468" s="1"/>
    </row>
    <row r="5469" spans="20:21" x14ac:dyDescent="0.45">
      <c r="T5469" s="17"/>
      <c r="U5469" s="1"/>
    </row>
    <row r="5470" spans="20:21" x14ac:dyDescent="0.45">
      <c r="T5470" s="17"/>
      <c r="U5470" s="1"/>
    </row>
    <row r="5471" spans="20:21" x14ac:dyDescent="0.45">
      <c r="T5471" s="17"/>
      <c r="U5471" s="1"/>
    </row>
    <row r="5472" spans="20:21" x14ac:dyDescent="0.45">
      <c r="T5472" s="17"/>
      <c r="U5472" s="1"/>
    </row>
    <row r="5473" spans="20:21" x14ac:dyDescent="0.45">
      <c r="T5473" s="17"/>
      <c r="U5473" s="1"/>
    </row>
    <row r="5474" spans="20:21" x14ac:dyDescent="0.45">
      <c r="T5474" s="17"/>
      <c r="U5474" s="1"/>
    </row>
    <row r="5475" spans="20:21" x14ac:dyDescent="0.45">
      <c r="T5475" s="17"/>
      <c r="U5475" s="1"/>
    </row>
    <row r="5476" spans="20:21" x14ac:dyDescent="0.45">
      <c r="T5476" s="17"/>
      <c r="U5476" s="1"/>
    </row>
    <row r="5477" spans="20:21" x14ac:dyDescent="0.45">
      <c r="T5477" s="17"/>
      <c r="U5477" s="1"/>
    </row>
    <row r="5478" spans="20:21" x14ac:dyDescent="0.45">
      <c r="T5478" s="17"/>
      <c r="U5478" s="1"/>
    </row>
    <row r="5479" spans="20:21" x14ac:dyDescent="0.45">
      <c r="T5479" s="17"/>
      <c r="U5479" s="1"/>
    </row>
    <row r="5480" spans="20:21" x14ac:dyDescent="0.45">
      <c r="T5480" s="17"/>
      <c r="U5480" s="1"/>
    </row>
    <row r="5481" spans="20:21" x14ac:dyDescent="0.45">
      <c r="T5481" s="17"/>
      <c r="U5481" s="1"/>
    </row>
    <row r="5482" spans="20:21" x14ac:dyDescent="0.45">
      <c r="T5482" s="17"/>
      <c r="U5482" s="1"/>
    </row>
    <row r="5483" spans="20:21" x14ac:dyDescent="0.45">
      <c r="T5483" s="17"/>
      <c r="U5483" s="1"/>
    </row>
    <row r="5484" spans="20:21" x14ac:dyDescent="0.45">
      <c r="T5484" s="17"/>
      <c r="U5484" s="1"/>
    </row>
    <row r="5485" spans="20:21" x14ac:dyDescent="0.45">
      <c r="T5485" s="17"/>
      <c r="U5485" s="1"/>
    </row>
    <row r="5486" spans="20:21" x14ac:dyDescent="0.45">
      <c r="T5486" s="17"/>
      <c r="U5486" s="1"/>
    </row>
    <row r="5487" spans="20:21" x14ac:dyDescent="0.45">
      <c r="T5487" s="17"/>
      <c r="U5487" s="1"/>
    </row>
    <row r="5488" spans="20:21" x14ac:dyDescent="0.45">
      <c r="T5488" s="17"/>
      <c r="U5488" s="1"/>
    </row>
    <row r="5489" spans="20:21" x14ac:dyDescent="0.45">
      <c r="T5489" s="17"/>
      <c r="U5489" s="1"/>
    </row>
    <row r="5490" spans="20:21" x14ac:dyDescent="0.45">
      <c r="T5490" s="17"/>
      <c r="U5490" s="1"/>
    </row>
    <row r="5491" spans="20:21" x14ac:dyDescent="0.45">
      <c r="T5491" s="17"/>
      <c r="U5491" s="1"/>
    </row>
    <row r="5492" spans="20:21" x14ac:dyDescent="0.45">
      <c r="T5492" s="17"/>
      <c r="U5492" s="1"/>
    </row>
    <row r="5493" spans="20:21" x14ac:dyDescent="0.45">
      <c r="T5493" s="17"/>
      <c r="U5493" s="1"/>
    </row>
    <row r="5494" spans="20:21" x14ac:dyDescent="0.45">
      <c r="T5494" s="17"/>
      <c r="U5494" s="1"/>
    </row>
    <row r="5495" spans="20:21" x14ac:dyDescent="0.45">
      <c r="T5495" s="17"/>
      <c r="U5495" s="1"/>
    </row>
    <row r="5496" spans="20:21" x14ac:dyDescent="0.45">
      <c r="T5496" s="17"/>
      <c r="U5496" s="1"/>
    </row>
    <row r="5497" spans="20:21" x14ac:dyDescent="0.45">
      <c r="T5497" s="17"/>
      <c r="U5497" s="1"/>
    </row>
    <row r="5498" spans="20:21" x14ac:dyDescent="0.45">
      <c r="T5498" s="17"/>
      <c r="U5498" s="1"/>
    </row>
    <row r="5499" spans="20:21" x14ac:dyDescent="0.45">
      <c r="T5499" s="17"/>
      <c r="U5499" s="1"/>
    </row>
    <row r="5500" spans="20:21" x14ac:dyDescent="0.45">
      <c r="T5500" s="17"/>
      <c r="U5500" s="1"/>
    </row>
    <row r="5501" spans="20:21" x14ac:dyDescent="0.45">
      <c r="T5501" s="17"/>
      <c r="U5501" s="1"/>
    </row>
    <row r="5502" spans="20:21" x14ac:dyDescent="0.45">
      <c r="T5502" s="17"/>
      <c r="U5502" s="1"/>
    </row>
    <row r="5503" spans="20:21" x14ac:dyDescent="0.45">
      <c r="T5503" s="17"/>
      <c r="U5503" s="1"/>
    </row>
    <row r="5504" spans="20:21" x14ac:dyDescent="0.45">
      <c r="T5504" s="17"/>
      <c r="U5504" s="1"/>
    </row>
    <row r="5505" spans="20:21" x14ac:dyDescent="0.45">
      <c r="T5505" s="17"/>
      <c r="U5505" s="1"/>
    </row>
    <row r="5506" spans="20:21" x14ac:dyDescent="0.45">
      <c r="T5506" s="17"/>
      <c r="U5506" s="1"/>
    </row>
    <row r="5507" spans="20:21" x14ac:dyDescent="0.45">
      <c r="T5507" s="17"/>
      <c r="U5507" s="1"/>
    </row>
    <row r="5508" spans="20:21" x14ac:dyDescent="0.45">
      <c r="T5508" s="17"/>
      <c r="U5508" s="1"/>
    </row>
    <row r="5509" spans="20:21" x14ac:dyDescent="0.45">
      <c r="T5509" s="17"/>
      <c r="U5509" s="1"/>
    </row>
    <row r="5510" spans="20:21" x14ac:dyDescent="0.45">
      <c r="T5510" s="17"/>
      <c r="U5510" s="1"/>
    </row>
    <row r="5511" spans="20:21" x14ac:dyDescent="0.45">
      <c r="T5511" s="17"/>
      <c r="U5511" s="1"/>
    </row>
    <row r="5512" spans="20:21" x14ac:dyDescent="0.45">
      <c r="T5512" s="17"/>
      <c r="U5512" s="1"/>
    </row>
    <row r="5513" spans="20:21" x14ac:dyDescent="0.45">
      <c r="T5513" s="17"/>
      <c r="U5513" s="1"/>
    </row>
    <row r="5514" spans="20:21" x14ac:dyDescent="0.45">
      <c r="T5514" s="17"/>
      <c r="U5514" s="1"/>
    </row>
    <row r="5515" spans="20:21" x14ac:dyDescent="0.45">
      <c r="T5515" s="17"/>
      <c r="U5515" s="1"/>
    </row>
    <row r="5516" spans="20:21" x14ac:dyDescent="0.45">
      <c r="T5516" s="17"/>
      <c r="U5516" s="1"/>
    </row>
    <row r="5517" spans="20:21" x14ac:dyDescent="0.45">
      <c r="T5517" s="17"/>
      <c r="U5517" s="1"/>
    </row>
    <row r="5518" spans="20:21" x14ac:dyDescent="0.45">
      <c r="T5518" s="17"/>
      <c r="U5518" s="1"/>
    </row>
    <row r="5519" spans="20:21" x14ac:dyDescent="0.45">
      <c r="T5519" s="17"/>
      <c r="U5519" s="1"/>
    </row>
    <row r="5520" spans="20:21" x14ac:dyDescent="0.45">
      <c r="T5520" s="17"/>
      <c r="U5520" s="1"/>
    </row>
    <row r="5521" spans="20:21" x14ac:dyDescent="0.45">
      <c r="T5521" s="17"/>
      <c r="U5521" s="1"/>
    </row>
    <row r="5522" spans="20:21" x14ac:dyDescent="0.45">
      <c r="T5522" s="17"/>
      <c r="U5522" s="1"/>
    </row>
    <row r="5523" spans="20:21" x14ac:dyDescent="0.45">
      <c r="T5523" s="17"/>
      <c r="U5523" s="1"/>
    </row>
    <row r="5524" spans="20:21" x14ac:dyDescent="0.45">
      <c r="T5524" s="17"/>
      <c r="U5524" s="1"/>
    </row>
    <row r="5525" spans="20:21" x14ac:dyDescent="0.45">
      <c r="T5525" s="17"/>
      <c r="U5525" s="1"/>
    </row>
    <row r="5526" spans="20:21" x14ac:dyDescent="0.45">
      <c r="T5526" s="17"/>
      <c r="U5526" s="1"/>
    </row>
    <row r="5527" spans="20:21" x14ac:dyDescent="0.45">
      <c r="T5527" s="17"/>
      <c r="U5527" s="1"/>
    </row>
    <row r="5528" spans="20:21" x14ac:dyDescent="0.45">
      <c r="T5528" s="17"/>
      <c r="U5528" s="1"/>
    </row>
    <row r="5529" spans="20:21" x14ac:dyDescent="0.45">
      <c r="T5529" s="17"/>
      <c r="U5529" s="1"/>
    </row>
    <row r="5530" spans="20:21" x14ac:dyDescent="0.45">
      <c r="T5530" s="17"/>
      <c r="U5530" s="1"/>
    </row>
    <row r="5531" spans="20:21" x14ac:dyDescent="0.45">
      <c r="T5531" s="17"/>
      <c r="U5531" s="1"/>
    </row>
    <row r="5532" spans="20:21" x14ac:dyDescent="0.45">
      <c r="T5532" s="17"/>
      <c r="U5532" s="1"/>
    </row>
    <row r="5533" spans="20:21" x14ac:dyDescent="0.45">
      <c r="T5533" s="17"/>
      <c r="U5533" s="1"/>
    </row>
    <row r="5534" spans="20:21" x14ac:dyDescent="0.45">
      <c r="T5534" s="17"/>
      <c r="U5534" s="1"/>
    </row>
    <row r="5535" spans="20:21" x14ac:dyDescent="0.45">
      <c r="T5535" s="17"/>
      <c r="U5535" s="1"/>
    </row>
    <row r="5536" spans="20:21" x14ac:dyDescent="0.45">
      <c r="T5536" s="17"/>
      <c r="U5536" s="1"/>
    </row>
    <row r="5537" spans="20:21" x14ac:dyDescent="0.45">
      <c r="T5537" s="17"/>
      <c r="U5537" s="1"/>
    </row>
    <row r="5538" spans="20:21" x14ac:dyDescent="0.45">
      <c r="T5538" s="17"/>
      <c r="U5538" s="1"/>
    </row>
    <row r="5539" spans="20:21" x14ac:dyDescent="0.45">
      <c r="T5539" s="17"/>
      <c r="U5539" s="1"/>
    </row>
    <row r="5540" spans="20:21" x14ac:dyDescent="0.45">
      <c r="T5540" s="17"/>
      <c r="U5540" s="1"/>
    </row>
    <row r="5541" spans="20:21" x14ac:dyDescent="0.45">
      <c r="T5541" s="17"/>
      <c r="U5541" s="1"/>
    </row>
    <row r="5542" spans="20:21" x14ac:dyDescent="0.45">
      <c r="T5542" s="17"/>
      <c r="U5542" s="1"/>
    </row>
    <row r="5543" spans="20:21" x14ac:dyDescent="0.45">
      <c r="T5543" s="17"/>
      <c r="U5543" s="1"/>
    </row>
    <row r="5544" spans="20:21" x14ac:dyDescent="0.45">
      <c r="T5544" s="17"/>
      <c r="U5544" s="1"/>
    </row>
    <row r="5545" spans="20:21" x14ac:dyDescent="0.45">
      <c r="T5545" s="17"/>
      <c r="U5545" s="1"/>
    </row>
    <row r="5546" spans="20:21" x14ac:dyDescent="0.45">
      <c r="T5546" s="17"/>
      <c r="U5546" s="1"/>
    </row>
    <row r="5547" spans="20:21" x14ac:dyDescent="0.45">
      <c r="T5547" s="17"/>
      <c r="U5547" s="1"/>
    </row>
    <row r="5548" spans="20:21" x14ac:dyDescent="0.45">
      <c r="T5548" s="17"/>
      <c r="U5548" s="1"/>
    </row>
    <row r="5549" spans="20:21" x14ac:dyDescent="0.45">
      <c r="T5549" s="17"/>
      <c r="U5549" s="1"/>
    </row>
    <row r="5550" spans="20:21" x14ac:dyDescent="0.45">
      <c r="T5550" s="17"/>
      <c r="U5550" s="1"/>
    </row>
    <row r="5551" spans="20:21" x14ac:dyDescent="0.45">
      <c r="T5551" s="17"/>
      <c r="U5551" s="1"/>
    </row>
    <row r="5552" spans="20:21" x14ac:dyDescent="0.45">
      <c r="T5552" s="17"/>
      <c r="U5552" s="1"/>
    </row>
    <row r="5553" spans="20:21" x14ac:dyDescent="0.45">
      <c r="T5553" s="17"/>
      <c r="U5553" s="1"/>
    </row>
    <row r="5554" spans="20:21" x14ac:dyDescent="0.45">
      <c r="T5554" s="17"/>
      <c r="U5554" s="1"/>
    </row>
    <row r="5555" spans="20:21" x14ac:dyDescent="0.45">
      <c r="T5555" s="17"/>
      <c r="U5555" s="1"/>
    </row>
    <row r="5556" spans="20:21" x14ac:dyDescent="0.45">
      <c r="T5556" s="17"/>
      <c r="U5556" s="1"/>
    </row>
    <row r="5557" spans="20:21" x14ac:dyDescent="0.45">
      <c r="T5557" s="17"/>
      <c r="U5557" s="1"/>
    </row>
    <row r="5558" spans="20:21" x14ac:dyDescent="0.45">
      <c r="T5558" s="17"/>
      <c r="U5558" s="1"/>
    </row>
    <row r="5559" spans="20:21" x14ac:dyDescent="0.45">
      <c r="T5559" s="17"/>
      <c r="U5559" s="1"/>
    </row>
    <row r="5560" spans="20:21" x14ac:dyDescent="0.45">
      <c r="T5560" s="17"/>
      <c r="U5560" s="1"/>
    </row>
    <row r="5561" spans="20:21" x14ac:dyDescent="0.45">
      <c r="T5561" s="17"/>
      <c r="U5561" s="1"/>
    </row>
    <row r="5562" spans="20:21" x14ac:dyDescent="0.45">
      <c r="T5562" s="17"/>
      <c r="U5562" s="1"/>
    </row>
    <row r="5563" spans="20:21" x14ac:dyDescent="0.45">
      <c r="T5563" s="17"/>
      <c r="U5563" s="1"/>
    </row>
    <row r="5564" spans="20:21" x14ac:dyDescent="0.45">
      <c r="T5564" s="17"/>
      <c r="U5564" s="1"/>
    </row>
    <row r="5565" spans="20:21" x14ac:dyDescent="0.45">
      <c r="T5565" s="17"/>
      <c r="U5565" s="1"/>
    </row>
    <row r="5566" spans="20:21" x14ac:dyDescent="0.45">
      <c r="T5566" s="17"/>
      <c r="U5566" s="1"/>
    </row>
    <row r="5567" spans="20:21" x14ac:dyDescent="0.45">
      <c r="T5567" s="17"/>
      <c r="U5567" s="1"/>
    </row>
    <row r="5568" spans="20:21" x14ac:dyDescent="0.45">
      <c r="T5568" s="17"/>
      <c r="U5568" s="1"/>
    </row>
    <row r="5569" spans="20:21" x14ac:dyDescent="0.45">
      <c r="T5569" s="17"/>
      <c r="U5569" s="1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BB2C7EF-E02F-4A0C-BBB7-112F030774B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ゾーンFrRr流出</vt:lpstr>
      <vt:lpstr>番号ADO</vt:lpstr>
      <vt:lpstr>不良集計ADO</vt:lpstr>
      <vt:lpstr>ゾーンFrRr流出!Print_Area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剛 菊池</dc:creator>
  <cp:lastModifiedBy>菊池剛</cp:lastModifiedBy>
  <cp:lastPrinted>2026-01-22T08:31:22Z</cp:lastPrinted>
  <dcterms:created xsi:type="dcterms:W3CDTF">2025-06-04T05:56:47Z</dcterms:created>
  <dcterms:modified xsi:type="dcterms:W3CDTF">2026-01-23T05:47:26Z</dcterms:modified>
</cp:coreProperties>
</file>